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mosunipannonhu-my.sharepoint.com/personal/d2mvsc_student_uni-pannon_hu/Documents/Documents/Tsiigee/Pannon/Research/Bánya-tó/Interpolation maps methods/Ecological Informatics/Research data/"/>
    </mc:Choice>
  </mc:AlternateContent>
  <xr:revisionPtr revIDLastSave="248" documentId="13_ncr:1_{615C62B7-4007-4EE5-90A2-CDFB93FF8DF4}" xr6:coauthVersionLast="47" xr6:coauthVersionMax="47" xr10:uidLastSave="{DEA8E479-37BF-4991-ADED-067730EA3568}"/>
  <bookViews>
    <workbookView xWindow="-23148" yWindow="-72" windowWidth="23256" windowHeight="12456" activeTab="1" xr2:uid="{996F5ABD-ABDD-48ED-BB7F-6B248746A069}"/>
  </bookViews>
  <sheets>
    <sheet name="Metrics" sheetId="1" r:id="rId1"/>
    <sheet name="Error distribution" sheetId="3" r:id="rId2"/>
  </sheets>
  <definedNames>
    <definedName name="_xlchart.v1.0" hidden="1">'Error distribution'!$A$1</definedName>
    <definedName name="_xlchart.v1.1" hidden="1">'Error distribution'!$A$2:$A$11</definedName>
    <definedName name="_xlchart.v1.2" hidden="1">'Error distribution'!$B$1</definedName>
    <definedName name="_xlchart.v1.3" hidden="1">'Error distribution'!$B$2:$B$11</definedName>
    <definedName name="_xlchart.v1.4" hidden="1">'Error distribution'!$C$1</definedName>
    <definedName name="_xlchart.v1.5" hidden="1">'Error distribution'!$C$2:$C$11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F15" i="1" s="1"/>
  <c r="D15" i="1" s="1"/>
  <c r="E16" i="1"/>
  <c r="E17" i="1"/>
  <c r="G15" i="1"/>
  <c r="F16" i="1"/>
  <c r="D16" i="1" s="1"/>
  <c r="G16" i="1"/>
  <c r="F17" i="1"/>
  <c r="D17" i="1" s="1"/>
  <c r="G17" i="1"/>
  <c r="O3" i="1"/>
  <c r="R3" i="1" s="1"/>
  <c r="O4" i="1"/>
  <c r="R4" i="1" s="1"/>
  <c r="O5" i="1"/>
  <c r="R5" i="1" s="1"/>
  <c r="O6" i="1"/>
  <c r="R6" i="1" s="1"/>
  <c r="O7" i="1"/>
  <c r="R7" i="1" s="1"/>
  <c r="O8" i="1"/>
  <c r="R8" i="1" s="1"/>
  <c r="O9" i="1"/>
  <c r="R9" i="1" s="1"/>
  <c r="O10" i="1"/>
  <c r="R10" i="1" s="1"/>
  <c r="O11" i="1"/>
  <c r="R11" i="1" s="1"/>
  <c r="O2" i="1"/>
  <c r="R2" i="1" s="1"/>
  <c r="N6" i="1"/>
  <c r="N11" i="1"/>
  <c r="K3" i="1"/>
  <c r="K4" i="1"/>
  <c r="M4" i="1" s="1"/>
  <c r="K5" i="1"/>
  <c r="N5" i="1" s="1"/>
  <c r="K6" i="1"/>
  <c r="K7" i="1"/>
  <c r="N7" i="1" s="1"/>
  <c r="K8" i="1"/>
  <c r="M8" i="1" s="1"/>
  <c r="K9" i="1"/>
  <c r="N9" i="1" s="1"/>
  <c r="K10" i="1"/>
  <c r="N10" i="1" s="1"/>
  <c r="K11" i="1"/>
  <c r="L11" i="1" s="1"/>
  <c r="K2" i="1"/>
  <c r="N2" i="1" s="1"/>
  <c r="M5" i="1"/>
  <c r="L5" i="1"/>
  <c r="G3" i="1"/>
  <c r="J3" i="1" s="1"/>
  <c r="G4" i="1"/>
  <c r="J4" i="1" s="1"/>
  <c r="G5" i="1"/>
  <c r="I5" i="1" s="1"/>
  <c r="G6" i="1"/>
  <c r="I6" i="1" s="1"/>
  <c r="G7" i="1"/>
  <c r="H7" i="1" s="1"/>
  <c r="G8" i="1"/>
  <c r="H8" i="1" s="1"/>
  <c r="G9" i="1"/>
  <c r="I9" i="1" s="1"/>
  <c r="G10" i="1"/>
  <c r="H10" i="1" s="1"/>
  <c r="G11" i="1"/>
  <c r="I11" i="1" s="1"/>
  <c r="G2" i="1"/>
  <c r="H2" i="1" s="1"/>
  <c r="H5" i="1" l="1"/>
  <c r="H4" i="1"/>
  <c r="H3" i="1"/>
  <c r="I4" i="1"/>
  <c r="I3" i="1"/>
  <c r="I2" i="1"/>
  <c r="J2" i="1"/>
  <c r="L2" i="1"/>
  <c r="M2" i="1"/>
  <c r="B16" i="1"/>
  <c r="N3" i="1"/>
  <c r="N4" i="1"/>
  <c r="B15" i="1"/>
  <c r="H11" i="1"/>
  <c r="J11" i="1"/>
  <c r="H9" i="1"/>
  <c r="J10" i="1"/>
  <c r="H6" i="1"/>
  <c r="J9" i="1"/>
  <c r="B17" i="1"/>
  <c r="Q8" i="1"/>
  <c r="I10" i="1"/>
  <c r="J8" i="1"/>
  <c r="M11" i="1"/>
  <c r="I8" i="1"/>
  <c r="J6" i="1"/>
  <c r="L8" i="1"/>
  <c r="J7" i="1"/>
  <c r="I7" i="1"/>
  <c r="J5" i="1"/>
  <c r="N8" i="1"/>
  <c r="Q5" i="1"/>
  <c r="Q11" i="1"/>
  <c r="M10" i="1"/>
  <c r="Q2" i="1"/>
  <c r="P7" i="1"/>
  <c r="Q3" i="1"/>
  <c r="P2" i="1"/>
  <c r="P5" i="1"/>
  <c r="P8" i="1"/>
  <c r="P11" i="1"/>
  <c r="M3" i="1"/>
  <c r="L4" i="1"/>
  <c r="L7" i="1"/>
  <c r="L10" i="1"/>
  <c r="L3" i="1"/>
  <c r="P3" i="1" s="1"/>
  <c r="M6" i="1"/>
  <c r="M7" i="1"/>
  <c r="L6" i="1"/>
  <c r="L9" i="1"/>
  <c r="M9" i="1"/>
  <c r="C15" i="1" l="1"/>
  <c r="C16" i="1"/>
  <c r="P6" i="1"/>
  <c r="Q6" i="1"/>
  <c r="P10" i="1"/>
  <c r="Q10" i="1"/>
  <c r="P9" i="1"/>
  <c r="Q9" i="1"/>
  <c r="P4" i="1"/>
  <c r="Q7" i="1"/>
  <c r="Q4" i="1"/>
  <c r="C17" i="1" l="1"/>
</calcChain>
</file>

<file path=xl/sharedStrings.xml><?xml version="1.0" encoding="utf-8"?>
<sst xmlns="http://schemas.openxmlformats.org/spreadsheetml/2006/main" count="33" uniqueCount="30">
  <si>
    <t>Sites</t>
  </si>
  <si>
    <t>Time</t>
  </si>
  <si>
    <t>measured DO</t>
  </si>
  <si>
    <t>9 post1</t>
  </si>
  <si>
    <t>9 post2</t>
  </si>
  <si>
    <t>TIN</t>
  </si>
  <si>
    <t>IDW</t>
  </si>
  <si>
    <t>Python</t>
  </si>
  <si>
    <t>IDW Error</t>
  </si>
  <si>
    <t>IDW |Error|</t>
  </si>
  <si>
    <r>
      <t>IDW Error</t>
    </r>
    <r>
      <rPr>
        <vertAlign val="superscript"/>
        <sz val="12"/>
        <color theme="1"/>
        <rFont val="Arial"/>
        <family val="2"/>
      </rPr>
      <t>2</t>
    </r>
  </si>
  <si>
    <t>IDW |Error %|</t>
  </si>
  <si>
    <t>TIN Error</t>
  </si>
  <si>
    <t>TIN |Error|</t>
  </si>
  <si>
    <r>
      <t>TIN Error</t>
    </r>
    <r>
      <rPr>
        <vertAlign val="superscript"/>
        <sz val="12"/>
        <color theme="1"/>
        <rFont val="Arial"/>
        <family val="2"/>
      </rPr>
      <t>2</t>
    </r>
  </si>
  <si>
    <t>TIN |Error %|</t>
  </si>
  <si>
    <t>Python Error</t>
  </si>
  <si>
    <t>Python |Error|</t>
  </si>
  <si>
    <r>
      <t>Python Error</t>
    </r>
    <r>
      <rPr>
        <vertAlign val="superscript"/>
        <sz val="12"/>
        <color theme="1"/>
        <rFont val="Arial"/>
        <family val="2"/>
      </rPr>
      <t>2</t>
    </r>
  </si>
  <si>
    <t>Python |Error %|</t>
  </si>
  <si>
    <t>MBE</t>
  </si>
  <si>
    <t>MAE</t>
  </si>
  <si>
    <t>MSE</t>
  </si>
  <si>
    <t>RMSE</t>
  </si>
  <si>
    <t>NRMSE</t>
  </si>
  <si>
    <t>MAPE</t>
  </si>
  <si>
    <t>Methods</t>
  </si>
  <si>
    <t xml:space="preserve">IDW </t>
  </si>
  <si>
    <t xml:space="preserve">TIN </t>
  </si>
  <si>
    <t>Custom-Python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</si>
</sst>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sz val="12"/>
      <color rgb="FF242424"/>
      <name val="Arial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2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A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/>
        </cx:txData>
      </cx:tx>
    </cx:title>
    <cx:plotArea>
      <cx:plotAreaRegion>
        <cx:series layoutId="boxWhisker" uniqueId="{EB6039DE-2D24-42A8-BC5C-8971E769B543}">
          <cx:tx>
            <cx:txData>
              <cx:f>_xlchart.v1.0</cx:f>
              <cx:v>IDW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D03F049-364E-473F-8DE5-70BF1CBA362B}">
          <cx:tx>
            <cx:txData>
              <cx:f>_xlchart.v1.2</cx:f>
              <cx:v>TIN </cx:v>
            </cx:txData>
          </cx:tx>
          <cx:dataId val="1"/>
          <cx:layoutPr>
            <cx:visibility meanLine="1" meanMarker="1" nonoutliers="1" outliers="1"/>
            <cx:statistics quartileMethod="exclusive"/>
          </cx:layoutPr>
        </cx:series>
        <cx:series layoutId="boxWhisker" uniqueId="{8BBE6C26-841E-4F9D-9139-2CB52B8563E3}">
          <cx:tx>
            <cx:txData>
              <cx:f>_xlchart.v1.4</cx:f>
              <cx:v>Custom-Python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319999993"/>
        <cx:tickLabels/>
        <cx:numFmt formatCode="yyyy-mm-dd;@" sourceLinked="0"/>
      </cx:axis>
      <cx:axis id="1">
        <cx:valScaling max="16"/>
        <cx:tickLabels/>
        <cx:numFmt formatCode="#,##0" sourceLinked="0"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GB" sz="11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GB" sz="1100" b="0" i="0" u="none" strike="noStrike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  <cx:spPr>
    <a:ln w="6350">
      <a:solidFill>
        <a:schemeClr val="tx1">
          <a:lumMod val="65000"/>
          <a:lumOff val="35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0</xdr:row>
      <xdr:rowOff>342900</xdr:rowOff>
    </xdr:from>
    <xdr:to>
      <xdr:col>16</xdr:col>
      <xdr:colOff>213360</xdr:colOff>
      <xdr:row>16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E323D6C-8AB0-1EC6-A586-661B517170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30040" y="342900"/>
              <a:ext cx="5859780" cy="3055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C02DB-127F-4D9C-8284-D959206506EB}">
  <dimension ref="A1:R17"/>
  <sheetViews>
    <sheetView workbookViewId="0">
      <selection activeCell="J21" sqref="J21"/>
    </sheetView>
  </sheetViews>
  <sheetFormatPr defaultRowHeight="15" x14ac:dyDescent="0.3"/>
  <cols>
    <col min="1" max="1" width="12.109375" style="3" customWidth="1"/>
    <col min="2" max="2" width="8.88671875" style="3"/>
    <col min="3" max="3" width="10.77734375" style="3" customWidth="1"/>
    <col min="4" max="4" width="10.21875" style="3" customWidth="1"/>
    <col min="5" max="5" width="11.109375" style="3" customWidth="1"/>
    <col min="6" max="6" width="10.6640625" style="3" customWidth="1"/>
    <col min="7" max="7" width="11.33203125" style="3" customWidth="1"/>
    <col min="8" max="8" width="9.88671875" style="3" customWidth="1"/>
    <col min="9" max="9" width="10.88671875" style="3" customWidth="1"/>
    <col min="10" max="10" width="10.6640625" style="3" customWidth="1"/>
    <col min="11" max="11" width="11.21875" style="3" customWidth="1"/>
    <col min="12" max="12" width="8.88671875" style="3"/>
    <col min="13" max="13" width="11.21875" style="3" customWidth="1"/>
    <col min="14" max="14" width="10.109375" style="3" customWidth="1"/>
    <col min="15" max="15" width="10.77734375" style="3" customWidth="1"/>
    <col min="16" max="17" width="8.88671875" style="3"/>
    <col min="18" max="18" width="10.6640625" style="3" customWidth="1"/>
    <col min="19" max="16384" width="8.88671875" style="3"/>
  </cols>
  <sheetData>
    <row r="1" spans="1:18" ht="32.4" x14ac:dyDescent="0.3">
      <c r="A1" s="2" t="s">
        <v>0</v>
      </c>
      <c r="B1" s="4" t="s">
        <v>1</v>
      </c>
      <c r="C1" s="10" t="s">
        <v>2</v>
      </c>
      <c r="D1" s="9" t="s">
        <v>7</v>
      </c>
      <c r="E1" s="11" t="s">
        <v>6</v>
      </c>
      <c r="F1" s="9" t="s">
        <v>5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</row>
    <row r="2" spans="1:18" x14ac:dyDescent="0.3">
      <c r="A2" s="14">
        <v>33</v>
      </c>
      <c r="B2" s="1">
        <v>8</v>
      </c>
      <c r="C2" s="2">
        <v>474.4</v>
      </c>
      <c r="D2" s="1">
        <v>481.07687377929688</v>
      </c>
      <c r="E2" s="1">
        <v>460.63839999999999</v>
      </c>
      <c r="F2" s="1">
        <v>341.95150000000001</v>
      </c>
      <c r="G2" s="6">
        <f t="shared" ref="G2:G11" si="0">C2-E2</f>
        <v>13.761599999999987</v>
      </c>
      <c r="H2" s="5">
        <f>ABS(G2)</f>
        <v>13.761599999999987</v>
      </c>
      <c r="I2" s="5">
        <f>G2^2</f>
        <v>189.38163455999964</v>
      </c>
      <c r="J2" s="8">
        <f t="shared" ref="J2:J11" si="1">ABS(G2/C2)*100</f>
        <v>2.9008431703204018</v>
      </c>
      <c r="K2" s="6">
        <f t="shared" ref="K2:K11" si="2">C2-F2</f>
        <v>132.44849999999997</v>
      </c>
      <c r="L2" s="5">
        <f>ABS(K2)</f>
        <v>132.44849999999997</v>
      </c>
      <c r="M2" s="5">
        <f>K2^2</f>
        <v>17542.605152249991</v>
      </c>
      <c r="N2" s="8">
        <f t="shared" ref="N2:N11" si="3">ABS(K2/C2)*100</f>
        <v>27.919161045531194</v>
      </c>
      <c r="O2" s="6">
        <f t="shared" ref="O2:O11" si="4">C2-D2</f>
        <v>-6.6768737792968977</v>
      </c>
      <c r="P2" s="5">
        <f>ABS(O2)</f>
        <v>6.6768737792968977</v>
      </c>
      <c r="Q2" s="5">
        <f>O2^2</f>
        <v>44.580643464662437</v>
      </c>
      <c r="R2" s="8">
        <f t="shared" ref="R2:R11" si="5">ABS(O2/C2)*100</f>
        <v>1.4074354509479128</v>
      </c>
    </row>
    <row r="3" spans="1:18" x14ac:dyDescent="0.3">
      <c r="A3" s="15"/>
      <c r="B3" s="1">
        <v>9</v>
      </c>
      <c r="C3" s="2">
        <v>474.5</v>
      </c>
      <c r="D3" s="1">
        <v>478.41015625</v>
      </c>
      <c r="E3" s="1">
        <v>479.41876000000002</v>
      </c>
      <c r="F3" s="1">
        <v>473.58670999999998</v>
      </c>
      <c r="G3" s="6">
        <f t="shared" si="0"/>
        <v>-4.9187600000000202</v>
      </c>
      <c r="H3" s="5">
        <f t="shared" ref="H3:H11" si="6">ABS(G3)</f>
        <v>4.9187600000000202</v>
      </c>
      <c r="I3" s="5">
        <f t="shared" ref="I3:I11" si="7">G3^2</f>
        <v>24.194199937600199</v>
      </c>
      <c r="J3" s="8">
        <f t="shared" si="1"/>
        <v>1.0366195995785079</v>
      </c>
      <c r="K3" s="6">
        <f t="shared" si="2"/>
        <v>0.9132900000000177</v>
      </c>
      <c r="L3" s="5">
        <f t="shared" ref="L3:L11" si="8">ABS(K3)</f>
        <v>0.9132900000000177</v>
      </c>
      <c r="M3" s="5">
        <f t="shared" ref="M3:M11" si="9">K3^2</f>
        <v>0.83409862410003233</v>
      </c>
      <c r="N3" s="8">
        <f t="shared" si="3"/>
        <v>0.19247418335089941</v>
      </c>
      <c r="O3" s="6">
        <f t="shared" si="4"/>
        <v>-3.91015625</v>
      </c>
      <c r="P3" s="5">
        <f t="shared" ref="P3:P11" si="10">ABS(O3)</f>
        <v>3.91015625</v>
      </c>
      <c r="Q3" s="5">
        <f t="shared" ref="Q3:Q11" si="11">O3^2</f>
        <v>15.289321899414063</v>
      </c>
      <c r="R3" s="8">
        <f t="shared" si="5"/>
        <v>0.8240582191780822</v>
      </c>
    </row>
    <row r="4" spans="1:18" x14ac:dyDescent="0.3">
      <c r="A4" s="15"/>
      <c r="B4" s="1">
        <v>10</v>
      </c>
      <c r="C4" s="2">
        <v>478.5</v>
      </c>
      <c r="D4" s="1">
        <v>488.65573120117188</v>
      </c>
      <c r="E4" s="1">
        <v>489.12232999999998</v>
      </c>
      <c r="F4" s="1">
        <v>478.86268000000001</v>
      </c>
      <c r="G4" s="6">
        <f t="shared" si="0"/>
        <v>-10.622329999999977</v>
      </c>
      <c r="H4" s="5">
        <f t="shared" si="6"/>
        <v>10.622329999999977</v>
      </c>
      <c r="I4" s="5">
        <f t="shared" si="7"/>
        <v>112.8338946288995</v>
      </c>
      <c r="J4" s="8">
        <f t="shared" si="1"/>
        <v>2.2199226750261185</v>
      </c>
      <c r="K4" s="6">
        <f t="shared" si="2"/>
        <v>-0.36268000000001166</v>
      </c>
      <c r="L4" s="5">
        <f t="shared" si="8"/>
        <v>0.36268000000001166</v>
      </c>
      <c r="M4" s="5">
        <f t="shared" si="9"/>
        <v>0.13153678240000846</v>
      </c>
      <c r="N4" s="8">
        <f t="shared" si="3"/>
        <v>7.5795193312437129E-2</v>
      </c>
      <c r="O4" s="6">
        <f t="shared" si="4"/>
        <v>-10.155731201171875</v>
      </c>
      <c r="P4" s="5">
        <f t="shared" si="10"/>
        <v>10.155731201171875</v>
      </c>
      <c r="Q4" s="5">
        <f t="shared" si="11"/>
        <v>103.13887623045594</v>
      </c>
      <c r="R4" s="8">
        <f t="shared" si="5"/>
        <v>2.1224098644037355</v>
      </c>
    </row>
    <row r="5" spans="1:18" x14ac:dyDescent="0.3">
      <c r="A5" s="15"/>
      <c r="B5" s="1">
        <v>11</v>
      </c>
      <c r="C5" s="2">
        <v>473</v>
      </c>
      <c r="D5" s="1">
        <v>478.9844970703125</v>
      </c>
      <c r="E5" s="1">
        <v>479.99468000000002</v>
      </c>
      <c r="F5" s="1">
        <v>474.57067999999998</v>
      </c>
      <c r="G5" s="6">
        <f t="shared" si="0"/>
        <v>-6.9946800000000167</v>
      </c>
      <c r="H5" s="5">
        <f t="shared" si="6"/>
        <v>6.9946800000000167</v>
      </c>
      <c r="I5" s="5">
        <f t="shared" si="7"/>
        <v>48.92554830240023</v>
      </c>
      <c r="J5" s="8">
        <f t="shared" si="1"/>
        <v>1.4787906976744223</v>
      </c>
      <c r="K5" s="6">
        <f t="shared" si="2"/>
        <v>-1.5706799999999816</v>
      </c>
      <c r="L5" s="5">
        <f t="shared" si="8"/>
        <v>1.5706799999999816</v>
      </c>
      <c r="M5" s="5">
        <f t="shared" si="9"/>
        <v>2.4670356623999425</v>
      </c>
      <c r="N5" s="8">
        <f t="shared" si="3"/>
        <v>0.3320676532769517</v>
      </c>
      <c r="O5" s="6">
        <f t="shared" si="4"/>
        <v>-5.9844970703125</v>
      </c>
      <c r="P5" s="5">
        <f t="shared" si="10"/>
        <v>5.9844970703125</v>
      </c>
      <c r="Q5" s="5">
        <f t="shared" si="11"/>
        <v>35.814205184578896</v>
      </c>
      <c r="R5" s="8">
        <f t="shared" si="5"/>
        <v>1.2652213679307611</v>
      </c>
    </row>
    <row r="6" spans="1:18" x14ac:dyDescent="0.3">
      <c r="A6" s="15"/>
      <c r="B6" s="1">
        <v>12</v>
      </c>
      <c r="C6" s="2">
        <v>472.4</v>
      </c>
      <c r="D6" s="1">
        <v>475.68850708007813</v>
      </c>
      <c r="E6" s="1">
        <v>476.8963</v>
      </c>
      <c r="F6" s="1">
        <v>472.05736000000002</v>
      </c>
      <c r="G6" s="6">
        <f t="shared" si="0"/>
        <v>-4.4963000000000193</v>
      </c>
      <c r="H6" s="5">
        <f t="shared" si="6"/>
        <v>4.4963000000000193</v>
      </c>
      <c r="I6" s="5">
        <f t="shared" si="7"/>
        <v>20.216713690000173</v>
      </c>
      <c r="J6" s="8">
        <f t="shared" si="1"/>
        <v>0.95179932260796352</v>
      </c>
      <c r="K6" s="6">
        <f t="shared" si="2"/>
        <v>0.34263999999996031</v>
      </c>
      <c r="L6" s="5">
        <f t="shared" si="8"/>
        <v>0.34263999999996031</v>
      </c>
      <c r="M6" s="5">
        <f t="shared" si="9"/>
        <v>0.11740216959997279</v>
      </c>
      <c r="N6" s="8">
        <f t="shared" si="3"/>
        <v>7.2531752751896772E-2</v>
      </c>
      <c r="O6" s="6">
        <f t="shared" si="4"/>
        <v>-3.2885070800781477</v>
      </c>
      <c r="P6" s="5">
        <f t="shared" si="10"/>
        <v>3.2885070800781477</v>
      </c>
      <c r="Q6" s="5">
        <f t="shared" si="11"/>
        <v>10.814278815724105</v>
      </c>
      <c r="R6" s="8">
        <f t="shared" si="5"/>
        <v>0.69612766301400253</v>
      </c>
    </row>
    <row r="7" spans="1:18" x14ac:dyDescent="0.3">
      <c r="A7" s="15"/>
      <c r="B7" s="1">
        <v>16</v>
      </c>
      <c r="C7" s="2">
        <v>472.8</v>
      </c>
      <c r="D7" s="1">
        <v>482.14263916015619</v>
      </c>
      <c r="E7" s="1">
        <v>483.00414000000001</v>
      </c>
      <c r="F7" s="1">
        <v>476.20242999999999</v>
      </c>
      <c r="G7" s="6">
        <f t="shared" si="0"/>
        <v>-10.204139999999995</v>
      </c>
      <c r="H7" s="5">
        <f t="shared" si="6"/>
        <v>10.204139999999995</v>
      </c>
      <c r="I7" s="5">
        <f t="shared" si="7"/>
        <v>104.1244731395999</v>
      </c>
      <c r="J7" s="8">
        <f t="shared" si="1"/>
        <v>2.1582360406091361</v>
      </c>
      <c r="K7" s="6">
        <f t="shared" si="2"/>
        <v>-3.4024299999999812</v>
      </c>
      <c r="L7" s="5">
        <f t="shared" si="8"/>
        <v>3.4024299999999812</v>
      </c>
      <c r="M7" s="5">
        <f t="shared" si="9"/>
        <v>11.576529904899871</v>
      </c>
      <c r="N7" s="8">
        <f t="shared" si="3"/>
        <v>0.71963409475464912</v>
      </c>
      <c r="O7" s="6">
        <f t="shared" si="4"/>
        <v>-9.3426391601561818</v>
      </c>
      <c r="P7" s="5">
        <f t="shared" si="10"/>
        <v>9.3426391601561818</v>
      </c>
      <c r="Q7" s="5">
        <f t="shared" si="11"/>
        <v>87.284906476883805</v>
      </c>
      <c r="R7" s="8">
        <f t="shared" si="5"/>
        <v>1.9760235110313413</v>
      </c>
    </row>
    <row r="8" spans="1:18" x14ac:dyDescent="0.3">
      <c r="A8" s="15"/>
      <c r="B8" s="1">
        <v>20</v>
      </c>
      <c r="C8" s="2">
        <v>473.1</v>
      </c>
      <c r="D8" s="1">
        <v>478.39486694335938</v>
      </c>
      <c r="E8" s="1">
        <v>479.39161999999999</v>
      </c>
      <c r="F8" s="1">
        <v>473.0684</v>
      </c>
      <c r="G8" s="6">
        <f t="shared" si="0"/>
        <v>-6.2916199999999662</v>
      </c>
      <c r="H8" s="5">
        <f t="shared" si="6"/>
        <v>6.2916199999999662</v>
      </c>
      <c r="I8" s="5">
        <f t="shared" si="7"/>
        <v>39.584482224399572</v>
      </c>
      <c r="J8" s="8">
        <f t="shared" si="1"/>
        <v>1.329871063200162</v>
      </c>
      <c r="K8" s="6">
        <f t="shared" si="2"/>
        <v>3.160000000002583E-2</v>
      </c>
      <c r="L8" s="5">
        <f t="shared" si="8"/>
        <v>3.160000000002583E-2</v>
      </c>
      <c r="M8" s="5">
        <f t="shared" si="9"/>
        <v>9.9856000000163249E-4</v>
      </c>
      <c r="N8" s="8">
        <f t="shared" si="3"/>
        <v>6.6793489748522145E-3</v>
      </c>
      <c r="O8" s="6">
        <f t="shared" si="4"/>
        <v>-5.2948669433593523</v>
      </c>
      <c r="P8" s="5">
        <f t="shared" si="10"/>
        <v>5.2948669433593523</v>
      </c>
      <c r="Q8" s="5">
        <f t="shared" si="11"/>
        <v>28.035615947879609</v>
      </c>
      <c r="R8" s="8">
        <f t="shared" si="5"/>
        <v>1.1191855724707993</v>
      </c>
    </row>
    <row r="9" spans="1:18" x14ac:dyDescent="0.3">
      <c r="A9" s="15"/>
      <c r="B9" s="1">
        <v>0</v>
      </c>
      <c r="C9" s="2">
        <v>486</v>
      </c>
      <c r="D9" s="1">
        <v>480.146484375</v>
      </c>
      <c r="E9" s="1">
        <v>481.13848000000002</v>
      </c>
      <c r="F9" s="1">
        <v>474.07405999999997</v>
      </c>
      <c r="G9" s="6">
        <f t="shared" si="0"/>
        <v>4.8615199999999845</v>
      </c>
      <c r="H9" s="5">
        <f t="shared" si="6"/>
        <v>4.8615199999999845</v>
      </c>
      <c r="I9" s="5">
        <f t="shared" si="7"/>
        <v>23.634376710399849</v>
      </c>
      <c r="J9" s="8">
        <f t="shared" si="1"/>
        <v>1.000312757201643</v>
      </c>
      <c r="K9" s="6">
        <f t="shared" si="2"/>
        <v>11.925940000000026</v>
      </c>
      <c r="L9" s="5">
        <f t="shared" si="8"/>
        <v>11.925940000000026</v>
      </c>
      <c r="M9" s="5">
        <f t="shared" si="9"/>
        <v>142.2280448836006</v>
      </c>
      <c r="N9" s="8">
        <f t="shared" si="3"/>
        <v>2.4538971193415691</v>
      </c>
      <c r="O9" s="6">
        <f t="shared" si="4"/>
        <v>5.853515625</v>
      </c>
      <c r="P9" s="5">
        <f t="shared" si="10"/>
        <v>5.853515625</v>
      </c>
      <c r="Q9" s="5">
        <f t="shared" si="11"/>
        <v>34.263645172119141</v>
      </c>
      <c r="R9" s="8">
        <f t="shared" si="5"/>
        <v>1.2044270833333335</v>
      </c>
    </row>
    <row r="10" spans="1:18" x14ac:dyDescent="0.3">
      <c r="A10" s="15"/>
      <c r="B10" s="1" t="s">
        <v>3</v>
      </c>
      <c r="C10" s="2">
        <v>479.2</v>
      </c>
      <c r="D10" s="1">
        <v>484.32839965820313</v>
      </c>
      <c r="E10" s="1">
        <v>485.23052000000001</v>
      </c>
      <c r="F10" s="1">
        <v>478.52587999999997</v>
      </c>
      <c r="G10" s="6">
        <f t="shared" si="0"/>
        <v>-6.0305200000000241</v>
      </c>
      <c r="H10" s="5">
        <f t="shared" si="6"/>
        <v>6.0305200000000241</v>
      </c>
      <c r="I10" s="5">
        <f t="shared" si="7"/>
        <v>36.367171470400294</v>
      </c>
      <c r="J10" s="8">
        <f t="shared" si="1"/>
        <v>1.2584557595993373</v>
      </c>
      <c r="K10" s="6">
        <f t="shared" si="2"/>
        <v>0.67412000000001626</v>
      </c>
      <c r="L10" s="5">
        <f t="shared" si="8"/>
        <v>0.67412000000001626</v>
      </c>
      <c r="M10" s="5">
        <f t="shared" si="9"/>
        <v>0.45443777440002192</v>
      </c>
      <c r="N10" s="8">
        <f t="shared" si="3"/>
        <v>0.14067612687813363</v>
      </c>
      <c r="O10" s="6">
        <f t="shared" si="4"/>
        <v>-5.1283996582031364</v>
      </c>
      <c r="P10" s="5">
        <f t="shared" si="10"/>
        <v>5.1283996582031364</v>
      </c>
      <c r="Q10" s="5">
        <f t="shared" si="11"/>
        <v>26.300483054258045</v>
      </c>
      <c r="R10" s="8">
        <f t="shared" si="5"/>
        <v>1.070200262563259</v>
      </c>
    </row>
    <row r="11" spans="1:18" x14ac:dyDescent="0.3">
      <c r="A11" s="16"/>
      <c r="B11" s="1" t="s">
        <v>4</v>
      </c>
      <c r="C11" s="2">
        <v>479.5</v>
      </c>
      <c r="D11" s="1">
        <v>486.39694213867188</v>
      </c>
      <c r="E11" s="1">
        <v>486.92795000000001</v>
      </c>
      <c r="F11" s="1">
        <v>480.95044999999999</v>
      </c>
      <c r="G11" s="6">
        <f t="shared" si="0"/>
        <v>-7.4279500000000098</v>
      </c>
      <c r="H11" s="5">
        <f t="shared" si="6"/>
        <v>7.4279500000000098</v>
      </c>
      <c r="I11" s="5">
        <f t="shared" si="7"/>
        <v>55.174441202500148</v>
      </c>
      <c r="J11" s="8">
        <f t="shared" si="1"/>
        <v>1.5491032325338916</v>
      </c>
      <c r="K11" s="6">
        <f t="shared" si="2"/>
        <v>-1.4504499999999894</v>
      </c>
      <c r="L11" s="5">
        <f t="shared" si="8"/>
        <v>1.4504499999999894</v>
      </c>
      <c r="M11" s="5">
        <f t="shared" si="9"/>
        <v>2.1038052024999692</v>
      </c>
      <c r="N11" s="8">
        <f t="shared" si="3"/>
        <v>0.30249217935349099</v>
      </c>
      <c r="O11" s="6">
        <f t="shared" si="4"/>
        <v>-6.896942138671875</v>
      </c>
      <c r="P11" s="5">
        <f t="shared" si="10"/>
        <v>6.896942138671875</v>
      </c>
      <c r="Q11" s="5">
        <f t="shared" si="11"/>
        <v>47.567810864187777</v>
      </c>
      <c r="R11" s="8">
        <f t="shared" si="5"/>
        <v>1.4383612385134255</v>
      </c>
    </row>
    <row r="14" spans="1:18" x14ac:dyDescent="0.3">
      <c r="A14" s="2" t="s">
        <v>26</v>
      </c>
      <c r="B14" s="17" t="s">
        <v>20</v>
      </c>
      <c r="C14" s="2" t="s">
        <v>21</v>
      </c>
      <c r="D14" s="2" t="s">
        <v>24</v>
      </c>
      <c r="E14" s="2" t="s">
        <v>22</v>
      </c>
      <c r="F14" s="2" t="s">
        <v>23</v>
      </c>
      <c r="G14" s="2" t="s">
        <v>25</v>
      </c>
    </row>
    <row r="15" spans="1:18" x14ac:dyDescent="0.3">
      <c r="A15" s="2" t="s">
        <v>6</v>
      </c>
      <c r="B15" s="18">
        <f>AVERAGE(G2:G11)</f>
        <v>-3.8363180000000057</v>
      </c>
      <c r="C15" s="1">
        <f>AVERAGE(H2:H11)</f>
        <v>7.5609419999999998</v>
      </c>
      <c r="D15" s="1">
        <f>F15/AVERAGE(C2:C11)*100</f>
        <v>1.6983095390627374</v>
      </c>
      <c r="E15" s="1">
        <f>AVERAGE(I2:I11)</f>
        <v>65.443693586619943</v>
      </c>
      <c r="F15" s="1">
        <f>SQRT(E15)</f>
        <v>8.0897276583714444</v>
      </c>
      <c r="G15" s="1">
        <f>AVERAGE(J2:J11)</f>
        <v>1.5883954318351585</v>
      </c>
    </row>
    <row r="16" spans="1:18" x14ac:dyDescent="0.3">
      <c r="A16" s="2" t="s">
        <v>5</v>
      </c>
      <c r="B16" s="18">
        <f>AVERAGE(K2:K11)</f>
        <v>13.954985000000004</v>
      </c>
      <c r="C16" s="1">
        <f>AVERAGE(L2:L11)</f>
        <v>15.312232999999997</v>
      </c>
      <c r="D16" s="1">
        <f>F16/AVERAGE(C2:C11)*100</f>
        <v>8.8328424238129166</v>
      </c>
      <c r="E16" s="1">
        <f>AVERAGE(M2:M11)</f>
        <v>1770.2519041813889</v>
      </c>
      <c r="F16" s="1">
        <f t="shared" ref="F16:F17" si="12">SQRT(E16)</f>
        <v>42.074361601590454</v>
      </c>
      <c r="G16" s="1">
        <f>AVERAGE(N2:N11)</f>
        <v>3.2215408697526073</v>
      </c>
    </row>
    <row r="17" spans="1:7" x14ac:dyDescent="0.3">
      <c r="A17" s="2" t="s">
        <v>7</v>
      </c>
      <c r="B17" s="18">
        <f>AVERAGE(O2:O11)</f>
        <v>-5.0825097656249962</v>
      </c>
      <c r="C17" s="1">
        <f>AVERAGE(P2:P11)</f>
        <v>6.2532128906249964</v>
      </c>
      <c r="D17" s="1">
        <f>F17/AVERAGE(C2:C11)*100</f>
        <v>1.3815668975293851</v>
      </c>
      <c r="E17" s="1">
        <f>AVERAGE(Q2:Q11)</f>
        <v>43.30897871101638</v>
      </c>
      <c r="F17" s="1">
        <f t="shared" si="12"/>
        <v>6.5809557596914736</v>
      </c>
      <c r="G17" s="1">
        <f>AVERAGE(R2:R11)</f>
        <v>1.3123450233386653</v>
      </c>
    </row>
  </sheetData>
  <mergeCells count="1">
    <mergeCell ref="A2:A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BDA4-414C-40D8-875F-E0A49D430E2A}">
  <dimension ref="A1:C11"/>
  <sheetViews>
    <sheetView tabSelected="1" workbookViewId="0">
      <selection activeCell="F7" sqref="F7"/>
    </sheetView>
  </sheetViews>
  <sheetFormatPr defaultRowHeight="14.4" x14ac:dyDescent="0.3"/>
  <cols>
    <col min="1" max="3" width="9" bestFit="1" customWidth="1"/>
  </cols>
  <sheetData>
    <row r="1" spans="1:3" ht="31.2" x14ac:dyDescent="0.3">
      <c r="A1" s="13" t="s">
        <v>27</v>
      </c>
      <c r="B1" s="13" t="s">
        <v>28</v>
      </c>
      <c r="C1" s="13" t="s">
        <v>29</v>
      </c>
    </row>
    <row r="2" spans="1:3" ht="15.6" x14ac:dyDescent="0.3">
      <c r="A2" s="12">
        <v>13.761599999999987</v>
      </c>
      <c r="B2" s="12">
        <v>132.44849999999997</v>
      </c>
      <c r="C2" s="12">
        <v>6.6768737792968977</v>
      </c>
    </row>
    <row r="3" spans="1:3" ht="15.6" x14ac:dyDescent="0.3">
      <c r="A3" s="12">
        <v>4.9187600000000202</v>
      </c>
      <c r="B3" s="12">
        <v>0.9132900000000177</v>
      </c>
      <c r="C3" s="12">
        <v>3.91015625</v>
      </c>
    </row>
    <row r="4" spans="1:3" ht="15.6" x14ac:dyDescent="0.3">
      <c r="A4" s="12">
        <v>10.622329999999977</v>
      </c>
      <c r="B4" s="12">
        <v>0.36268000000001166</v>
      </c>
      <c r="C4" s="12">
        <v>10.155731201171875</v>
      </c>
    </row>
    <row r="5" spans="1:3" ht="15.6" x14ac:dyDescent="0.3">
      <c r="A5" s="12">
        <v>6.9946800000000167</v>
      </c>
      <c r="B5" s="12">
        <v>1.5706799999999816</v>
      </c>
      <c r="C5" s="12">
        <v>5.9844970703125</v>
      </c>
    </row>
    <row r="6" spans="1:3" ht="15.6" x14ac:dyDescent="0.3">
      <c r="A6" s="12">
        <v>4.4963000000000193</v>
      </c>
      <c r="B6" s="12">
        <v>0.34263999999996031</v>
      </c>
      <c r="C6" s="12">
        <v>3.2885070800781477</v>
      </c>
    </row>
    <row r="7" spans="1:3" ht="15.6" x14ac:dyDescent="0.3">
      <c r="A7" s="12">
        <v>10.204139999999995</v>
      </c>
      <c r="B7" s="12">
        <v>3.4024299999999812</v>
      </c>
      <c r="C7" s="12">
        <v>9.3426391601561818</v>
      </c>
    </row>
    <row r="8" spans="1:3" ht="15.6" x14ac:dyDescent="0.3">
      <c r="A8" s="12">
        <v>6.2916199999999662</v>
      </c>
      <c r="B8" s="12">
        <v>3.160000000002583E-2</v>
      </c>
      <c r="C8" s="12">
        <v>5.2948669433593523</v>
      </c>
    </row>
    <row r="9" spans="1:3" ht="15.6" x14ac:dyDescent="0.3">
      <c r="A9" s="12">
        <v>4.8615199999999845</v>
      </c>
      <c r="B9" s="12">
        <v>11.925940000000026</v>
      </c>
      <c r="C9" s="12">
        <v>5.853515625</v>
      </c>
    </row>
    <row r="10" spans="1:3" ht="15.6" x14ac:dyDescent="0.3">
      <c r="A10" s="12">
        <v>6.0305200000000241</v>
      </c>
      <c r="B10" s="12">
        <v>0.67412000000001626</v>
      </c>
      <c r="C10" s="12">
        <v>5.1283996582031364</v>
      </c>
    </row>
    <row r="11" spans="1:3" ht="15.6" x14ac:dyDescent="0.3">
      <c r="A11" s="12">
        <v>7.4279500000000098</v>
      </c>
      <c r="B11" s="12">
        <v>1.4504499999999894</v>
      </c>
      <c r="C11" s="12">
        <v>6.896942138671875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Error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Andarai Tsiiregzen</dc:creator>
  <cp:lastModifiedBy>Andarai Tsiiregzen</cp:lastModifiedBy>
  <dcterms:created xsi:type="dcterms:W3CDTF">2026-03-30T19:09:02Z</dcterms:created>
  <dcterms:modified xsi:type="dcterms:W3CDTF">2026-05-08T12:43:30Z</dcterms:modified>
</cp:coreProperties>
</file>