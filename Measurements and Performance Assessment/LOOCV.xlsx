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almosunipannonhu-my.sharepoint.com/personal/d2mvsc_student_uni-pannon_hu/Documents/Documents/Tsiigee/Pannon/Research/Bánya-tó/Interpolation maps methods/Ecological Informatics/Research data/"/>
    </mc:Choice>
  </mc:AlternateContent>
  <xr:revisionPtr revIDLastSave="1055" documentId="13_ncr:1_{DF0789FD-F7A0-428D-90E1-002A5E2CCC73}" xr6:coauthVersionLast="47" xr6:coauthVersionMax="47" xr10:uidLastSave="{7C439C5F-7777-4EDE-8254-3236D32EF305}"/>
  <bookViews>
    <workbookView xWindow="-23148" yWindow="-72" windowWidth="23256" windowHeight="12456" firstSheet="2" activeTab="14" xr2:uid="{00000000-000D-0000-FFFF-FFFF00000000}"/>
  </bookViews>
  <sheets>
    <sheet name="orginal data" sheetId="6" r:id="rId1"/>
    <sheet name="Temp" sheetId="7" r:id="rId2"/>
    <sheet name="DO" sheetId="8" r:id="rId3"/>
    <sheet name="pH" sheetId="9" r:id="rId4"/>
    <sheet name="ORP" sheetId="10" r:id="rId5"/>
    <sheet name="Turbidity" sheetId="11" r:id="rId6"/>
    <sheet name="EC" sheetId="12" r:id="rId7"/>
    <sheet name="Salinity" sheetId="13" r:id="rId8"/>
    <sheet name="TDS" sheetId="14" r:id="rId9"/>
    <sheet name="NH4" sheetId="15" r:id="rId10"/>
    <sheet name="NO2" sheetId="16" r:id="rId11"/>
    <sheet name="NO3" sheetId="17" r:id="rId12"/>
    <sheet name="OP" sheetId="18" r:id="rId13"/>
    <sheet name="TP" sheetId="19" r:id="rId14"/>
    <sheet name="total" sheetId="2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9" l="1"/>
  <c r="E51" i="19" s="1"/>
  <c r="D50" i="19"/>
  <c r="E50" i="19" s="1"/>
  <c r="G50" i="19" s="1"/>
  <c r="D49" i="19"/>
  <c r="E49" i="19" s="1"/>
  <c r="D48" i="19"/>
  <c r="E48" i="19" s="1"/>
  <c r="D47" i="19"/>
  <c r="E47" i="19" s="1"/>
  <c r="D46" i="19"/>
  <c r="E46" i="19" s="1"/>
  <c r="D45" i="19"/>
  <c r="E45" i="19" s="1"/>
  <c r="D44" i="19"/>
  <c r="E44" i="19" s="1"/>
  <c r="D43" i="19"/>
  <c r="E43" i="19" s="1"/>
  <c r="D42" i="19"/>
  <c r="E42" i="19" s="1"/>
  <c r="G42" i="19" s="1"/>
  <c r="D41" i="19"/>
  <c r="E41" i="19" s="1"/>
  <c r="D40" i="19"/>
  <c r="E40" i="19" s="1"/>
  <c r="D39" i="19"/>
  <c r="E39" i="19" s="1"/>
  <c r="D38" i="19"/>
  <c r="E38" i="19" s="1"/>
  <c r="D37" i="19"/>
  <c r="E37" i="19" s="1"/>
  <c r="D36" i="19"/>
  <c r="E36" i="19" s="1"/>
  <c r="D35" i="19"/>
  <c r="E35" i="19" s="1"/>
  <c r="D34" i="19"/>
  <c r="E34" i="19" s="1"/>
  <c r="G34" i="19" s="1"/>
  <c r="D33" i="19"/>
  <c r="E33" i="19" s="1"/>
  <c r="D32" i="19"/>
  <c r="E32" i="19" s="1"/>
  <c r="D31" i="19"/>
  <c r="E31" i="19" s="1"/>
  <c r="D30" i="19"/>
  <c r="E30" i="19" s="1"/>
  <c r="D29" i="19"/>
  <c r="E29" i="19" s="1"/>
  <c r="D28" i="19"/>
  <c r="E28" i="19" s="1"/>
  <c r="D27" i="19"/>
  <c r="E27" i="19" s="1"/>
  <c r="D26" i="19"/>
  <c r="E26" i="19" s="1"/>
  <c r="G26" i="19" s="1"/>
  <c r="D25" i="19"/>
  <c r="E25" i="19" s="1"/>
  <c r="D24" i="19"/>
  <c r="E24" i="19" s="1"/>
  <c r="D23" i="19"/>
  <c r="E23" i="19" s="1"/>
  <c r="D22" i="19"/>
  <c r="E22" i="19" s="1"/>
  <c r="D21" i="19"/>
  <c r="E21" i="19" s="1"/>
  <c r="D20" i="19"/>
  <c r="E20" i="19" s="1"/>
  <c r="D19" i="19"/>
  <c r="E19" i="19" s="1"/>
  <c r="D18" i="19"/>
  <c r="E18" i="19" s="1"/>
  <c r="G18" i="19" s="1"/>
  <c r="D17" i="19"/>
  <c r="E17" i="19" s="1"/>
  <c r="D16" i="19"/>
  <c r="E16" i="19" s="1"/>
  <c r="D15" i="19"/>
  <c r="E15" i="19" s="1"/>
  <c r="D14" i="19"/>
  <c r="E14" i="19" s="1"/>
  <c r="D13" i="19"/>
  <c r="E13" i="19" s="1"/>
  <c r="D12" i="19"/>
  <c r="E12" i="19" s="1"/>
  <c r="D11" i="19"/>
  <c r="E11" i="19" s="1"/>
  <c r="D10" i="19"/>
  <c r="E10" i="19" s="1"/>
  <c r="G10" i="19" s="1"/>
  <c r="D9" i="19"/>
  <c r="E9" i="19" s="1"/>
  <c r="D8" i="19"/>
  <c r="E8" i="19" s="1"/>
  <c r="D7" i="19"/>
  <c r="E7" i="19" s="1"/>
  <c r="D6" i="19"/>
  <c r="E6" i="19" s="1"/>
  <c r="D5" i="19"/>
  <c r="E5" i="19" s="1"/>
  <c r="D4" i="19"/>
  <c r="E4" i="19" s="1"/>
  <c r="D3" i="19"/>
  <c r="E3" i="19" s="1"/>
  <c r="D2" i="19"/>
  <c r="E2" i="19" s="1"/>
  <c r="G2" i="19" s="1"/>
  <c r="D51" i="18"/>
  <c r="E51" i="18" s="1"/>
  <c r="D50" i="18"/>
  <c r="E50" i="18" s="1"/>
  <c r="D49" i="18"/>
  <c r="E49" i="18" s="1"/>
  <c r="D48" i="18"/>
  <c r="E48" i="18" s="1"/>
  <c r="D47" i="18"/>
  <c r="E47" i="18" s="1"/>
  <c r="D46" i="18"/>
  <c r="E46" i="18" s="1"/>
  <c r="D45" i="18"/>
  <c r="E45" i="18" s="1"/>
  <c r="D44" i="18"/>
  <c r="E44" i="18" s="1"/>
  <c r="D43" i="18"/>
  <c r="E43" i="18" s="1"/>
  <c r="G43" i="18" s="1"/>
  <c r="D42" i="18"/>
  <c r="E42" i="18" s="1"/>
  <c r="D41" i="18"/>
  <c r="E41" i="18" s="1"/>
  <c r="D40" i="18"/>
  <c r="E40" i="18" s="1"/>
  <c r="D39" i="18"/>
  <c r="E39" i="18" s="1"/>
  <c r="D38" i="18"/>
  <c r="E38" i="18" s="1"/>
  <c r="D37" i="18"/>
  <c r="E37" i="18" s="1"/>
  <c r="D36" i="18"/>
  <c r="E36" i="18" s="1"/>
  <c r="D35" i="18"/>
  <c r="E35" i="18" s="1"/>
  <c r="G35" i="18" s="1"/>
  <c r="D34" i="18"/>
  <c r="E34" i="18" s="1"/>
  <c r="D33" i="18"/>
  <c r="E33" i="18" s="1"/>
  <c r="D32" i="18"/>
  <c r="E32" i="18" s="1"/>
  <c r="D31" i="18"/>
  <c r="E31" i="18" s="1"/>
  <c r="D30" i="18"/>
  <c r="E30" i="18" s="1"/>
  <c r="D29" i="18"/>
  <c r="E29" i="18" s="1"/>
  <c r="D28" i="18"/>
  <c r="E28" i="18" s="1"/>
  <c r="D27" i="18"/>
  <c r="E27" i="18" s="1"/>
  <c r="G27" i="18" s="1"/>
  <c r="D26" i="18"/>
  <c r="E26" i="18" s="1"/>
  <c r="D25" i="18"/>
  <c r="E25" i="18" s="1"/>
  <c r="D24" i="18"/>
  <c r="E24" i="18" s="1"/>
  <c r="D23" i="18"/>
  <c r="E23" i="18" s="1"/>
  <c r="D22" i="18"/>
  <c r="E22" i="18" s="1"/>
  <c r="D21" i="18"/>
  <c r="E21" i="18" s="1"/>
  <c r="D20" i="18"/>
  <c r="E20" i="18" s="1"/>
  <c r="D19" i="18"/>
  <c r="E19" i="18" s="1"/>
  <c r="G19" i="18" s="1"/>
  <c r="D18" i="18"/>
  <c r="E18" i="18" s="1"/>
  <c r="D17" i="18"/>
  <c r="E17" i="18" s="1"/>
  <c r="D16" i="18"/>
  <c r="E16" i="18" s="1"/>
  <c r="D15" i="18"/>
  <c r="E15" i="18" s="1"/>
  <c r="D14" i="18"/>
  <c r="E14" i="18" s="1"/>
  <c r="D13" i="18"/>
  <c r="E13" i="18" s="1"/>
  <c r="D12" i="18"/>
  <c r="E12" i="18" s="1"/>
  <c r="D11" i="18"/>
  <c r="E11" i="18" s="1"/>
  <c r="G11" i="18" s="1"/>
  <c r="D10" i="18"/>
  <c r="E10" i="18" s="1"/>
  <c r="D9" i="18"/>
  <c r="E9" i="18" s="1"/>
  <c r="D8" i="18"/>
  <c r="E8" i="18" s="1"/>
  <c r="D7" i="18"/>
  <c r="E7" i="18" s="1"/>
  <c r="D6" i="18"/>
  <c r="E6" i="18" s="1"/>
  <c r="D5" i="18"/>
  <c r="E5" i="18" s="1"/>
  <c r="D4" i="18"/>
  <c r="E4" i="18" s="1"/>
  <c r="D3" i="18"/>
  <c r="E3" i="18" s="1"/>
  <c r="G3" i="18" s="1"/>
  <c r="D2" i="18"/>
  <c r="E2" i="18" s="1"/>
  <c r="D51" i="17"/>
  <c r="E51" i="17" s="1"/>
  <c r="D50" i="17"/>
  <c r="E50" i="17" s="1"/>
  <c r="D49" i="17"/>
  <c r="E49" i="17" s="1"/>
  <c r="D48" i="17"/>
  <c r="E48" i="17" s="1"/>
  <c r="D47" i="17"/>
  <c r="E47" i="17" s="1"/>
  <c r="D46" i="17"/>
  <c r="E46" i="17" s="1"/>
  <c r="D45" i="17"/>
  <c r="E45" i="17" s="1"/>
  <c r="F45" i="17" s="1"/>
  <c r="D44" i="17"/>
  <c r="E44" i="17" s="1"/>
  <c r="D43" i="17"/>
  <c r="E43" i="17" s="1"/>
  <c r="G43" i="17" s="1"/>
  <c r="D42" i="17"/>
  <c r="E42" i="17" s="1"/>
  <c r="D41" i="17"/>
  <c r="E41" i="17" s="1"/>
  <c r="D40" i="17"/>
  <c r="E40" i="17" s="1"/>
  <c r="D39" i="17"/>
  <c r="E39" i="17" s="1"/>
  <c r="D38" i="17"/>
  <c r="E38" i="17" s="1"/>
  <c r="D37" i="17"/>
  <c r="E37" i="17" s="1"/>
  <c r="F37" i="17" s="1"/>
  <c r="D36" i="17"/>
  <c r="E36" i="17" s="1"/>
  <c r="D35" i="17"/>
  <c r="E35" i="17" s="1"/>
  <c r="G35" i="17" s="1"/>
  <c r="D34" i="17"/>
  <c r="E34" i="17" s="1"/>
  <c r="D33" i="17"/>
  <c r="E33" i="17" s="1"/>
  <c r="D32" i="17"/>
  <c r="E32" i="17" s="1"/>
  <c r="D31" i="17"/>
  <c r="E31" i="17" s="1"/>
  <c r="D30" i="17"/>
  <c r="E30" i="17" s="1"/>
  <c r="D29" i="17"/>
  <c r="E29" i="17" s="1"/>
  <c r="F29" i="17" s="1"/>
  <c r="D28" i="17"/>
  <c r="E28" i="17" s="1"/>
  <c r="D27" i="17"/>
  <c r="E27" i="17" s="1"/>
  <c r="G27" i="17" s="1"/>
  <c r="D26" i="17"/>
  <c r="E26" i="17" s="1"/>
  <c r="D25" i="17"/>
  <c r="E25" i="17" s="1"/>
  <c r="D24" i="17"/>
  <c r="E24" i="17" s="1"/>
  <c r="D23" i="17"/>
  <c r="E23" i="17" s="1"/>
  <c r="D22" i="17"/>
  <c r="E22" i="17" s="1"/>
  <c r="D21" i="17"/>
  <c r="E21" i="17" s="1"/>
  <c r="F21" i="17" s="1"/>
  <c r="D20" i="17"/>
  <c r="E20" i="17" s="1"/>
  <c r="D19" i="17"/>
  <c r="E19" i="17" s="1"/>
  <c r="G19" i="17" s="1"/>
  <c r="D18" i="17"/>
  <c r="E18" i="17" s="1"/>
  <c r="D17" i="17"/>
  <c r="E17" i="17" s="1"/>
  <c r="D16" i="17"/>
  <c r="E16" i="17" s="1"/>
  <c r="D15" i="17"/>
  <c r="E15" i="17" s="1"/>
  <c r="D14" i="17"/>
  <c r="E14" i="17" s="1"/>
  <c r="D13" i="17"/>
  <c r="E13" i="17" s="1"/>
  <c r="F13" i="17" s="1"/>
  <c r="D12" i="17"/>
  <c r="E12" i="17" s="1"/>
  <c r="D11" i="17"/>
  <c r="E11" i="17" s="1"/>
  <c r="D10" i="17"/>
  <c r="E10" i="17" s="1"/>
  <c r="D9" i="17"/>
  <c r="E9" i="17" s="1"/>
  <c r="D8" i="17"/>
  <c r="E8" i="17" s="1"/>
  <c r="D7" i="17"/>
  <c r="E7" i="17" s="1"/>
  <c r="D6" i="17"/>
  <c r="E6" i="17" s="1"/>
  <c r="D5" i="17"/>
  <c r="E5" i="17" s="1"/>
  <c r="F5" i="17" s="1"/>
  <c r="D4" i="17"/>
  <c r="E4" i="17" s="1"/>
  <c r="D3" i="17"/>
  <c r="E3" i="17" s="1"/>
  <c r="D2" i="17"/>
  <c r="E2" i="17" s="1"/>
  <c r="D51" i="16"/>
  <c r="E51" i="16" s="1"/>
  <c r="D50" i="16"/>
  <c r="E50" i="16" s="1"/>
  <c r="D49" i="16"/>
  <c r="E49" i="16" s="1"/>
  <c r="D48" i="16"/>
  <c r="E48" i="16" s="1"/>
  <c r="D47" i="16"/>
  <c r="E47" i="16" s="1"/>
  <c r="D46" i="16"/>
  <c r="E46" i="16" s="1"/>
  <c r="K9" i="16" s="1"/>
  <c r="D45" i="16"/>
  <c r="E45" i="16" s="1"/>
  <c r="D44" i="16"/>
  <c r="E44" i="16" s="1"/>
  <c r="D43" i="16"/>
  <c r="E43" i="16" s="1"/>
  <c r="D42" i="16"/>
  <c r="E42" i="16" s="1"/>
  <c r="D41" i="16"/>
  <c r="E41" i="16" s="1"/>
  <c r="D40" i="16"/>
  <c r="E40" i="16" s="1"/>
  <c r="D39" i="16"/>
  <c r="E39" i="16" s="1"/>
  <c r="D38" i="16"/>
  <c r="E38" i="16" s="1"/>
  <c r="D37" i="16"/>
  <c r="E37" i="16" s="1"/>
  <c r="D36" i="16"/>
  <c r="E36" i="16" s="1"/>
  <c r="D35" i="16"/>
  <c r="E35" i="16" s="1"/>
  <c r="D34" i="16"/>
  <c r="E34" i="16" s="1"/>
  <c r="D33" i="16"/>
  <c r="E33" i="16" s="1"/>
  <c r="D32" i="16"/>
  <c r="E32" i="16" s="1"/>
  <c r="D31" i="16"/>
  <c r="E31" i="16" s="1"/>
  <c r="D30" i="16"/>
  <c r="E30" i="16" s="1"/>
  <c r="D29" i="16"/>
  <c r="E29" i="16" s="1"/>
  <c r="D28" i="16"/>
  <c r="E28" i="16" s="1"/>
  <c r="D27" i="16"/>
  <c r="E27" i="16" s="1"/>
  <c r="D26" i="16"/>
  <c r="E26" i="16" s="1"/>
  <c r="K7" i="16" s="1"/>
  <c r="D25" i="16"/>
  <c r="E25" i="16" s="1"/>
  <c r="D24" i="16"/>
  <c r="E24" i="16" s="1"/>
  <c r="D23" i="16"/>
  <c r="E23" i="16" s="1"/>
  <c r="D22" i="16"/>
  <c r="E22" i="16" s="1"/>
  <c r="D21" i="16"/>
  <c r="E21" i="16" s="1"/>
  <c r="D20" i="16"/>
  <c r="E20" i="16" s="1"/>
  <c r="K6" i="16" s="1"/>
  <c r="D19" i="16"/>
  <c r="E19" i="16" s="1"/>
  <c r="D18" i="16"/>
  <c r="E18" i="16" s="1"/>
  <c r="D17" i="16"/>
  <c r="E17" i="16" s="1"/>
  <c r="D16" i="16"/>
  <c r="E16" i="16" s="1"/>
  <c r="D15" i="16"/>
  <c r="E15" i="16" s="1"/>
  <c r="D14" i="16"/>
  <c r="E14" i="16" s="1"/>
  <c r="D13" i="16"/>
  <c r="E13" i="16" s="1"/>
  <c r="D12" i="16"/>
  <c r="E12" i="16" s="1"/>
  <c r="D11" i="16"/>
  <c r="E11" i="16" s="1"/>
  <c r="D10" i="16"/>
  <c r="E10" i="16" s="1"/>
  <c r="D9" i="16"/>
  <c r="E9" i="16" s="1"/>
  <c r="D8" i="16"/>
  <c r="E8" i="16" s="1"/>
  <c r="D7" i="16"/>
  <c r="E7" i="16" s="1"/>
  <c r="D6" i="16"/>
  <c r="E6" i="16" s="1"/>
  <c r="D5" i="16"/>
  <c r="E5" i="16" s="1"/>
  <c r="D4" i="16"/>
  <c r="E4" i="16" s="1"/>
  <c r="D3" i="16"/>
  <c r="E3" i="16" s="1"/>
  <c r="D2" i="16"/>
  <c r="E2" i="16" s="1"/>
  <c r="D51" i="15"/>
  <c r="E51" i="15" s="1"/>
  <c r="D50" i="15"/>
  <c r="E50" i="15" s="1"/>
  <c r="D49" i="15"/>
  <c r="E49" i="15" s="1"/>
  <c r="D48" i="15"/>
  <c r="E48" i="15" s="1"/>
  <c r="D47" i="15"/>
  <c r="E47" i="15" s="1"/>
  <c r="D46" i="15"/>
  <c r="E46" i="15" s="1"/>
  <c r="D45" i="15"/>
  <c r="E45" i="15" s="1"/>
  <c r="F45" i="15" s="1"/>
  <c r="D44" i="15"/>
  <c r="E44" i="15" s="1"/>
  <c r="D43" i="15"/>
  <c r="E43" i="15" s="1"/>
  <c r="G43" i="15" s="1"/>
  <c r="D42" i="15"/>
  <c r="E42" i="15" s="1"/>
  <c r="D41" i="15"/>
  <c r="E41" i="15" s="1"/>
  <c r="D40" i="15"/>
  <c r="E40" i="15" s="1"/>
  <c r="D39" i="15"/>
  <c r="E39" i="15" s="1"/>
  <c r="D38" i="15"/>
  <c r="E38" i="15" s="1"/>
  <c r="D37" i="15"/>
  <c r="E37" i="15" s="1"/>
  <c r="F37" i="15" s="1"/>
  <c r="D36" i="15"/>
  <c r="E36" i="15" s="1"/>
  <c r="D35" i="15"/>
  <c r="E35" i="15" s="1"/>
  <c r="G35" i="15" s="1"/>
  <c r="D34" i="15"/>
  <c r="E34" i="15" s="1"/>
  <c r="D33" i="15"/>
  <c r="E33" i="15" s="1"/>
  <c r="D32" i="15"/>
  <c r="E32" i="15" s="1"/>
  <c r="D31" i="15"/>
  <c r="E31" i="15" s="1"/>
  <c r="D30" i="15"/>
  <c r="E30" i="15" s="1"/>
  <c r="D29" i="15"/>
  <c r="E29" i="15" s="1"/>
  <c r="F29" i="15" s="1"/>
  <c r="D28" i="15"/>
  <c r="E28" i="15" s="1"/>
  <c r="D27" i="15"/>
  <c r="E27" i="15" s="1"/>
  <c r="G27" i="15" s="1"/>
  <c r="D26" i="15"/>
  <c r="E26" i="15" s="1"/>
  <c r="D25" i="15"/>
  <c r="E25" i="15" s="1"/>
  <c r="D24" i="15"/>
  <c r="E24" i="15" s="1"/>
  <c r="D23" i="15"/>
  <c r="E23" i="15" s="1"/>
  <c r="D22" i="15"/>
  <c r="E22" i="15" s="1"/>
  <c r="D21" i="15"/>
  <c r="E21" i="15" s="1"/>
  <c r="F21" i="15" s="1"/>
  <c r="D20" i="15"/>
  <c r="E20" i="15" s="1"/>
  <c r="D19" i="15"/>
  <c r="E19" i="15" s="1"/>
  <c r="G19" i="15" s="1"/>
  <c r="D18" i="15"/>
  <c r="E18" i="15" s="1"/>
  <c r="D17" i="15"/>
  <c r="E17" i="15" s="1"/>
  <c r="D16" i="15"/>
  <c r="E16" i="15" s="1"/>
  <c r="D15" i="15"/>
  <c r="E15" i="15" s="1"/>
  <c r="D14" i="15"/>
  <c r="E14" i="15" s="1"/>
  <c r="D13" i="15"/>
  <c r="E13" i="15" s="1"/>
  <c r="F13" i="15" s="1"/>
  <c r="D12" i="15"/>
  <c r="E12" i="15" s="1"/>
  <c r="D11" i="15"/>
  <c r="E11" i="15" s="1"/>
  <c r="G11" i="15" s="1"/>
  <c r="D10" i="15"/>
  <c r="E10" i="15" s="1"/>
  <c r="D9" i="15"/>
  <c r="E9" i="15" s="1"/>
  <c r="D8" i="15"/>
  <c r="E8" i="15" s="1"/>
  <c r="D7" i="15"/>
  <c r="E7" i="15" s="1"/>
  <c r="D6" i="15"/>
  <c r="E6" i="15" s="1"/>
  <c r="D5" i="15"/>
  <c r="E5" i="15" s="1"/>
  <c r="F5" i="15" s="1"/>
  <c r="D4" i="15"/>
  <c r="E4" i="15" s="1"/>
  <c r="D3" i="15"/>
  <c r="E3" i="15" s="1"/>
  <c r="G3" i="15" s="1"/>
  <c r="D2" i="15"/>
  <c r="E2" i="15" s="1"/>
  <c r="D51" i="14"/>
  <c r="E51" i="14" s="1"/>
  <c r="D50" i="14"/>
  <c r="E50" i="14" s="1"/>
  <c r="D49" i="14"/>
  <c r="E49" i="14" s="1"/>
  <c r="D48" i="14"/>
  <c r="E48" i="14" s="1"/>
  <c r="D47" i="14"/>
  <c r="E47" i="14" s="1"/>
  <c r="D46" i="14"/>
  <c r="E46" i="14" s="1"/>
  <c r="D45" i="14"/>
  <c r="E45" i="14" s="1"/>
  <c r="D44" i="14"/>
  <c r="E44" i="14" s="1"/>
  <c r="D43" i="14"/>
  <c r="E43" i="14" s="1"/>
  <c r="D42" i="14"/>
  <c r="E42" i="14" s="1"/>
  <c r="D41" i="14"/>
  <c r="E41" i="14" s="1"/>
  <c r="D40" i="14"/>
  <c r="E40" i="14" s="1"/>
  <c r="D39" i="14"/>
  <c r="E39" i="14" s="1"/>
  <c r="D38" i="14"/>
  <c r="E38" i="14" s="1"/>
  <c r="D37" i="14"/>
  <c r="E37" i="14" s="1"/>
  <c r="D36" i="14"/>
  <c r="E36" i="14" s="1"/>
  <c r="D35" i="14"/>
  <c r="E35" i="14" s="1"/>
  <c r="D34" i="14"/>
  <c r="E34" i="14" s="1"/>
  <c r="D33" i="14"/>
  <c r="E33" i="14" s="1"/>
  <c r="D32" i="14"/>
  <c r="E32" i="14" s="1"/>
  <c r="D31" i="14"/>
  <c r="E31" i="14" s="1"/>
  <c r="D30" i="14"/>
  <c r="E30" i="14" s="1"/>
  <c r="D29" i="14"/>
  <c r="E29" i="14" s="1"/>
  <c r="D28" i="14"/>
  <c r="E28" i="14" s="1"/>
  <c r="D27" i="14"/>
  <c r="E27" i="14" s="1"/>
  <c r="G27" i="14" s="1"/>
  <c r="D26" i="14"/>
  <c r="E26" i="14" s="1"/>
  <c r="D25" i="14"/>
  <c r="E25" i="14" s="1"/>
  <c r="D24" i="14"/>
  <c r="E24" i="14" s="1"/>
  <c r="D23" i="14"/>
  <c r="E23" i="14" s="1"/>
  <c r="D22" i="14"/>
  <c r="E22" i="14" s="1"/>
  <c r="D21" i="14"/>
  <c r="E21" i="14" s="1"/>
  <c r="D20" i="14"/>
  <c r="E20" i="14" s="1"/>
  <c r="D19" i="14"/>
  <c r="E19" i="14" s="1"/>
  <c r="D18" i="14"/>
  <c r="E18" i="14" s="1"/>
  <c r="D17" i="14"/>
  <c r="E17" i="14" s="1"/>
  <c r="G17" i="14" s="1"/>
  <c r="D16" i="14"/>
  <c r="E16" i="14" s="1"/>
  <c r="D15" i="14"/>
  <c r="E15" i="14" s="1"/>
  <c r="D14" i="14"/>
  <c r="E14" i="14" s="1"/>
  <c r="D13" i="14"/>
  <c r="E13" i="14" s="1"/>
  <c r="D12" i="14"/>
  <c r="E12" i="14" s="1"/>
  <c r="D11" i="14"/>
  <c r="E11" i="14" s="1"/>
  <c r="D10" i="14"/>
  <c r="E10" i="14" s="1"/>
  <c r="D9" i="14"/>
  <c r="E9" i="14" s="1"/>
  <c r="D8" i="14"/>
  <c r="E8" i="14" s="1"/>
  <c r="D7" i="14"/>
  <c r="E7" i="14" s="1"/>
  <c r="D6" i="14"/>
  <c r="E6" i="14" s="1"/>
  <c r="D5" i="14"/>
  <c r="E5" i="14" s="1"/>
  <c r="D4" i="14"/>
  <c r="E4" i="14" s="1"/>
  <c r="D3" i="14"/>
  <c r="E3" i="14" s="1"/>
  <c r="D2" i="14"/>
  <c r="E2" i="14" s="1"/>
  <c r="D51" i="13"/>
  <c r="E51" i="13" s="1"/>
  <c r="D50" i="13"/>
  <c r="E50" i="13" s="1"/>
  <c r="D49" i="13"/>
  <c r="E49" i="13" s="1"/>
  <c r="D48" i="13"/>
  <c r="E48" i="13" s="1"/>
  <c r="D47" i="13"/>
  <c r="E47" i="13" s="1"/>
  <c r="D46" i="13"/>
  <c r="E46" i="13" s="1"/>
  <c r="D45" i="13"/>
  <c r="E45" i="13" s="1"/>
  <c r="D44" i="13"/>
  <c r="E44" i="13" s="1"/>
  <c r="D43" i="13"/>
  <c r="E43" i="13" s="1"/>
  <c r="D42" i="13"/>
  <c r="E42" i="13" s="1"/>
  <c r="D41" i="13"/>
  <c r="E41" i="13" s="1"/>
  <c r="D40" i="13"/>
  <c r="E40" i="13" s="1"/>
  <c r="D39" i="13"/>
  <c r="E39" i="13" s="1"/>
  <c r="D38" i="13"/>
  <c r="E38" i="13" s="1"/>
  <c r="D37" i="13"/>
  <c r="E37" i="13" s="1"/>
  <c r="D36" i="13"/>
  <c r="E36" i="13" s="1"/>
  <c r="D35" i="13"/>
  <c r="E35" i="13" s="1"/>
  <c r="G35" i="13" s="1"/>
  <c r="D34" i="13"/>
  <c r="E34" i="13" s="1"/>
  <c r="D33" i="13"/>
  <c r="E33" i="13" s="1"/>
  <c r="D32" i="13"/>
  <c r="E32" i="13" s="1"/>
  <c r="D31" i="13"/>
  <c r="E31" i="13" s="1"/>
  <c r="D30" i="13"/>
  <c r="E30" i="13" s="1"/>
  <c r="D29" i="13"/>
  <c r="E29" i="13" s="1"/>
  <c r="D28" i="13"/>
  <c r="E28" i="13" s="1"/>
  <c r="D27" i="13"/>
  <c r="E27" i="13" s="1"/>
  <c r="G27" i="13" s="1"/>
  <c r="D26" i="13"/>
  <c r="E26" i="13" s="1"/>
  <c r="D25" i="13"/>
  <c r="E25" i="13" s="1"/>
  <c r="D24" i="13"/>
  <c r="E24" i="13" s="1"/>
  <c r="D23" i="13"/>
  <c r="E23" i="13" s="1"/>
  <c r="D22" i="13"/>
  <c r="E22" i="13" s="1"/>
  <c r="D21" i="13"/>
  <c r="E21" i="13" s="1"/>
  <c r="D20" i="13"/>
  <c r="E20" i="13" s="1"/>
  <c r="D19" i="13"/>
  <c r="E19" i="13" s="1"/>
  <c r="G19" i="13" s="1"/>
  <c r="D18" i="13"/>
  <c r="E18" i="13" s="1"/>
  <c r="D17" i="13"/>
  <c r="E17" i="13" s="1"/>
  <c r="D16" i="13"/>
  <c r="E16" i="13" s="1"/>
  <c r="D15" i="13"/>
  <c r="E15" i="13" s="1"/>
  <c r="D14" i="13"/>
  <c r="E14" i="13" s="1"/>
  <c r="D13" i="13"/>
  <c r="E13" i="13" s="1"/>
  <c r="D12" i="13"/>
  <c r="E12" i="13" s="1"/>
  <c r="D11" i="13"/>
  <c r="E11" i="13" s="1"/>
  <c r="G11" i="13" s="1"/>
  <c r="D10" i="13"/>
  <c r="E10" i="13" s="1"/>
  <c r="D9" i="13"/>
  <c r="E9" i="13" s="1"/>
  <c r="D8" i="13"/>
  <c r="E8" i="13" s="1"/>
  <c r="D7" i="13"/>
  <c r="E7" i="13" s="1"/>
  <c r="D6" i="13"/>
  <c r="E6" i="13" s="1"/>
  <c r="D5" i="13"/>
  <c r="E5" i="13" s="1"/>
  <c r="D4" i="13"/>
  <c r="E4" i="13" s="1"/>
  <c r="D3" i="13"/>
  <c r="E3" i="13" s="1"/>
  <c r="G3" i="13" s="1"/>
  <c r="D2" i="13"/>
  <c r="E2" i="13" s="1"/>
  <c r="D51" i="12"/>
  <c r="E51" i="12" s="1"/>
  <c r="D50" i="12"/>
  <c r="E50" i="12" s="1"/>
  <c r="D49" i="12"/>
  <c r="E49" i="12" s="1"/>
  <c r="D48" i="12"/>
  <c r="E48" i="12" s="1"/>
  <c r="D47" i="12"/>
  <c r="E47" i="12" s="1"/>
  <c r="D46" i="12"/>
  <c r="E46" i="12" s="1"/>
  <c r="D45" i="12"/>
  <c r="E45" i="12" s="1"/>
  <c r="D44" i="12"/>
  <c r="E44" i="12" s="1"/>
  <c r="F44" i="12" s="1"/>
  <c r="D43" i="12"/>
  <c r="E43" i="12" s="1"/>
  <c r="G43" i="12" s="1"/>
  <c r="D42" i="12"/>
  <c r="E42" i="12" s="1"/>
  <c r="D41" i="12"/>
  <c r="E41" i="12" s="1"/>
  <c r="D40" i="12"/>
  <c r="E40" i="12" s="1"/>
  <c r="D39" i="12"/>
  <c r="E39" i="12" s="1"/>
  <c r="D38" i="12"/>
  <c r="E38" i="12" s="1"/>
  <c r="D37" i="12"/>
  <c r="E37" i="12" s="1"/>
  <c r="D36" i="12"/>
  <c r="E36" i="12" s="1"/>
  <c r="F36" i="12" s="1"/>
  <c r="D35" i="12"/>
  <c r="E35" i="12" s="1"/>
  <c r="G35" i="12" s="1"/>
  <c r="D34" i="12"/>
  <c r="E34" i="12" s="1"/>
  <c r="D33" i="12"/>
  <c r="E33" i="12" s="1"/>
  <c r="D32" i="12"/>
  <c r="E32" i="12" s="1"/>
  <c r="D31" i="12"/>
  <c r="E31" i="12" s="1"/>
  <c r="D30" i="12"/>
  <c r="E30" i="12" s="1"/>
  <c r="D29" i="12"/>
  <c r="E29" i="12" s="1"/>
  <c r="D28" i="12"/>
  <c r="E28" i="12" s="1"/>
  <c r="D27" i="12"/>
  <c r="E27" i="12" s="1"/>
  <c r="G27" i="12" s="1"/>
  <c r="D26" i="12"/>
  <c r="E26" i="12" s="1"/>
  <c r="D25" i="12"/>
  <c r="E25" i="12" s="1"/>
  <c r="D24" i="12"/>
  <c r="E24" i="12" s="1"/>
  <c r="D23" i="12"/>
  <c r="E23" i="12" s="1"/>
  <c r="D22" i="12"/>
  <c r="E22" i="12" s="1"/>
  <c r="D21" i="12"/>
  <c r="E21" i="12" s="1"/>
  <c r="D20" i="12"/>
  <c r="E20" i="12" s="1"/>
  <c r="F20" i="12" s="1"/>
  <c r="D19" i="12"/>
  <c r="E19" i="12" s="1"/>
  <c r="G19" i="12" s="1"/>
  <c r="D18" i="12"/>
  <c r="E18" i="12" s="1"/>
  <c r="D17" i="12"/>
  <c r="E17" i="12" s="1"/>
  <c r="D16" i="12"/>
  <c r="E16" i="12" s="1"/>
  <c r="D15" i="12"/>
  <c r="E15" i="12" s="1"/>
  <c r="D14" i="12"/>
  <c r="E14" i="12" s="1"/>
  <c r="D13" i="12"/>
  <c r="E13" i="12" s="1"/>
  <c r="D12" i="12"/>
  <c r="E12" i="12" s="1"/>
  <c r="D11" i="12"/>
  <c r="E11" i="12" s="1"/>
  <c r="G11" i="12" s="1"/>
  <c r="D10" i="12"/>
  <c r="E10" i="12" s="1"/>
  <c r="D9" i="12"/>
  <c r="E9" i="12" s="1"/>
  <c r="D8" i="12"/>
  <c r="E8" i="12" s="1"/>
  <c r="D7" i="12"/>
  <c r="E7" i="12" s="1"/>
  <c r="D6" i="12"/>
  <c r="E6" i="12" s="1"/>
  <c r="D5" i="12"/>
  <c r="E5" i="12" s="1"/>
  <c r="D4" i="12"/>
  <c r="E4" i="12" s="1"/>
  <c r="D3" i="12"/>
  <c r="E3" i="12" s="1"/>
  <c r="G3" i="12" s="1"/>
  <c r="D2" i="12"/>
  <c r="E2" i="12" s="1"/>
  <c r="D51" i="11"/>
  <c r="E51" i="11" s="1"/>
  <c r="D50" i="11"/>
  <c r="E50" i="11" s="1"/>
  <c r="D49" i="11"/>
  <c r="E49" i="11" s="1"/>
  <c r="D48" i="11"/>
  <c r="E48" i="11" s="1"/>
  <c r="G48" i="11" s="1"/>
  <c r="D47" i="11"/>
  <c r="E47" i="11" s="1"/>
  <c r="D46" i="11"/>
  <c r="E46" i="11" s="1"/>
  <c r="D45" i="11"/>
  <c r="E45" i="11" s="1"/>
  <c r="D44" i="11"/>
  <c r="E44" i="11" s="1"/>
  <c r="D43" i="11"/>
  <c r="E43" i="11" s="1"/>
  <c r="D42" i="11"/>
  <c r="E42" i="11" s="1"/>
  <c r="G42" i="11" s="1"/>
  <c r="D41" i="11"/>
  <c r="E41" i="11" s="1"/>
  <c r="D40" i="11"/>
  <c r="E40" i="11" s="1"/>
  <c r="G40" i="11" s="1"/>
  <c r="D39" i="11"/>
  <c r="E39" i="11" s="1"/>
  <c r="D38" i="11"/>
  <c r="E38" i="11" s="1"/>
  <c r="D37" i="11"/>
  <c r="E37" i="11" s="1"/>
  <c r="D36" i="11"/>
  <c r="E36" i="11" s="1"/>
  <c r="D35" i="11"/>
  <c r="E35" i="11" s="1"/>
  <c r="D34" i="11"/>
  <c r="E34" i="11" s="1"/>
  <c r="G34" i="11" s="1"/>
  <c r="D33" i="11"/>
  <c r="E33" i="11" s="1"/>
  <c r="D32" i="11"/>
  <c r="E32" i="11" s="1"/>
  <c r="D31" i="11"/>
  <c r="E31" i="11" s="1"/>
  <c r="D30" i="11"/>
  <c r="E30" i="11" s="1"/>
  <c r="D29" i="11"/>
  <c r="E29" i="11" s="1"/>
  <c r="D28" i="11"/>
  <c r="E28" i="11" s="1"/>
  <c r="D27" i="11"/>
  <c r="E27" i="11" s="1"/>
  <c r="D26" i="11"/>
  <c r="E26" i="11" s="1"/>
  <c r="G26" i="11" s="1"/>
  <c r="D25" i="11"/>
  <c r="E25" i="11" s="1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G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G10" i="11" s="1"/>
  <c r="D9" i="11"/>
  <c r="E9" i="11" s="1"/>
  <c r="D8" i="11"/>
  <c r="E8" i="11" s="1"/>
  <c r="D7" i="11"/>
  <c r="E7" i="11" s="1"/>
  <c r="D6" i="11"/>
  <c r="E6" i="11" s="1"/>
  <c r="D5" i="11"/>
  <c r="E5" i="11" s="1"/>
  <c r="D4" i="11"/>
  <c r="E4" i="11" s="1"/>
  <c r="D3" i="11"/>
  <c r="E3" i="11" s="1"/>
  <c r="D2" i="11"/>
  <c r="E2" i="11" s="1"/>
  <c r="G2" i="11" s="1"/>
  <c r="D51" i="10"/>
  <c r="E51" i="10" s="1"/>
  <c r="D50" i="10"/>
  <c r="E50" i="10" s="1"/>
  <c r="D49" i="10"/>
  <c r="E49" i="10" s="1"/>
  <c r="D48" i="10"/>
  <c r="E48" i="10" s="1"/>
  <c r="D47" i="10"/>
  <c r="E47" i="10" s="1"/>
  <c r="D46" i="10"/>
  <c r="E46" i="10" s="1"/>
  <c r="D45" i="10"/>
  <c r="E45" i="10" s="1"/>
  <c r="D44" i="10"/>
  <c r="E44" i="10" s="1"/>
  <c r="D43" i="10"/>
  <c r="E43" i="10" s="1"/>
  <c r="D42" i="10"/>
  <c r="E42" i="10" s="1"/>
  <c r="F42" i="10" s="1"/>
  <c r="D41" i="10"/>
  <c r="E41" i="10" s="1"/>
  <c r="D40" i="10"/>
  <c r="E40" i="10" s="1"/>
  <c r="D39" i="10"/>
  <c r="E39" i="10" s="1"/>
  <c r="D38" i="10"/>
  <c r="E38" i="10" s="1"/>
  <c r="D37" i="10"/>
  <c r="E37" i="10" s="1"/>
  <c r="D36" i="10"/>
  <c r="E36" i="10" s="1"/>
  <c r="D35" i="10"/>
  <c r="E35" i="10" s="1"/>
  <c r="D34" i="10"/>
  <c r="E34" i="10" s="1"/>
  <c r="F34" i="10" s="1"/>
  <c r="D33" i="10"/>
  <c r="E33" i="10" s="1"/>
  <c r="D32" i="10"/>
  <c r="E32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F26" i="10" s="1"/>
  <c r="D25" i="10"/>
  <c r="E25" i="10" s="1"/>
  <c r="D24" i="10"/>
  <c r="E24" i="10" s="1"/>
  <c r="D23" i="10"/>
  <c r="E23" i="10" s="1"/>
  <c r="D22" i="10"/>
  <c r="E22" i="10" s="1"/>
  <c r="D21" i="10"/>
  <c r="E21" i="10" s="1"/>
  <c r="D20" i="10"/>
  <c r="E20" i="10" s="1"/>
  <c r="D19" i="10"/>
  <c r="E19" i="10" s="1"/>
  <c r="D18" i="10"/>
  <c r="E18" i="10" s="1"/>
  <c r="F18" i="10" s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D11" i="10"/>
  <c r="E11" i="10" s="1"/>
  <c r="D10" i="10"/>
  <c r="E10" i="10" s="1"/>
  <c r="F10" i="10" s="1"/>
  <c r="D9" i="10"/>
  <c r="E9" i="10" s="1"/>
  <c r="D8" i="10"/>
  <c r="E8" i="10" s="1"/>
  <c r="G8" i="10" s="1"/>
  <c r="D7" i="10"/>
  <c r="E7" i="10" s="1"/>
  <c r="D6" i="10"/>
  <c r="E6" i="10" s="1"/>
  <c r="D5" i="10"/>
  <c r="E5" i="10" s="1"/>
  <c r="D4" i="10"/>
  <c r="E4" i="10" s="1"/>
  <c r="D3" i="10"/>
  <c r="E3" i="10" s="1"/>
  <c r="D2" i="10"/>
  <c r="E2" i="10" s="1"/>
  <c r="F2" i="10" s="1"/>
  <c r="D51" i="9"/>
  <c r="E51" i="9" s="1"/>
  <c r="D50" i="9"/>
  <c r="E50" i="9" s="1"/>
  <c r="D49" i="9"/>
  <c r="E49" i="9" s="1"/>
  <c r="D48" i="9"/>
  <c r="E48" i="9" s="1"/>
  <c r="D47" i="9"/>
  <c r="E47" i="9" s="1"/>
  <c r="D46" i="9"/>
  <c r="E46" i="9" s="1"/>
  <c r="D45" i="9"/>
  <c r="E45" i="9" s="1"/>
  <c r="F45" i="9" s="1"/>
  <c r="D44" i="9"/>
  <c r="E44" i="9" s="1"/>
  <c r="D43" i="9"/>
  <c r="E43" i="9" s="1"/>
  <c r="G43" i="9" s="1"/>
  <c r="D42" i="9"/>
  <c r="E42" i="9" s="1"/>
  <c r="D41" i="9"/>
  <c r="E41" i="9" s="1"/>
  <c r="D40" i="9"/>
  <c r="E40" i="9" s="1"/>
  <c r="D39" i="9"/>
  <c r="E39" i="9" s="1"/>
  <c r="D38" i="9"/>
  <c r="E38" i="9" s="1"/>
  <c r="D37" i="9"/>
  <c r="E37" i="9" s="1"/>
  <c r="F37" i="9" s="1"/>
  <c r="D36" i="9"/>
  <c r="E36" i="9" s="1"/>
  <c r="D35" i="9"/>
  <c r="E35" i="9" s="1"/>
  <c r="G35" i="9" s="1"/>
  <c r="D34" i="9"/>
  <c r="E34" i="9" s="1"/>
  <c r="D33" i="9"/>
  <c r="E33" i="9" s="1"/>
  <c r="D32" i="9"/>
  <c r="E32" i="9" s="1"/>
  <c r="D31" i="9"/>
  <c r="E31" i="9" s="1"/>
  <c r="D30" i="9"/>
  <c r="E30" i="9" s="1"/>
  <c r="D29" i="9"/>
  <c r="E29" i="9" s="1"/>
  <c r="F29" i="9" s="1"/>
  <c r="D28" i="9"/>
  <c r="E28" i="9" s="1"/>
  <c r="D27" i="9"/>
  <c r="E27" i="9" s="1"/>
  <c r="G27" i="9" s="1"/>
  <c r="D26" i="9"/>
  <c r="E26" i="9" s="1"/>
  <c r="D25" i="9"/>
  <c r="E25" i="9" s="1"/>
  <c r="D24" i="9"/>
  <c r="E24" i="9" s="1"/>
  <c r="D23" i="9"/>
  <c r="E23" i="9" s="1"/>
  <c r="D22" i="9"/>
  <c r="E22" i="9" s="1"/>
  <c r="D21" i="9"/>
  <c r="E21" i="9" s="1"/>
  <c r="F21" i="9" s="1"/>
  <c r="D20" i="9"/>
  <c r="E20" i="9" s="1"/>
  <c r="D19" i="9"/>
  <c r="E19" i="9" s="1"/>
  <c r="G19" i="9" s="1"/>
  <c r="D18" i="9"/>
  <c r="E18" i="9" s="1"/>
  <c r="D17" i="9"/>
  <c r="E17" i="9" s="1"/>
  <c r="D16" i="9"/>
  <c r="E16" i="9" s="1"/>
  <c r="D15" i="9"/>
  <c r="E15" i="9" s="1"/>
  <c r="D14" i="9"/>
  <c r="E14" i="9" s="1"/>
  <c r="D13" i="9"/>
  <c r="E13" i="9" s="1"/>
  <c r="F13" i="9" s="1"/>
  <c r="D12" i="9"/>
  <c r="E12" i="9" s="1"/>
  <c r="D11" i="9"/>
  <c r="E11" i="9" s="1"/>
  <c r="G11" i="9" s="1"/>
  <c r="D10" i="9"/>
  <c r="E10" i="9" s="1"/>
  <c r="D9" i="9"/>
  <c r="E9" i="9" s="1"/>
  <c r="D8" i="9"/>
  <c r="E8" i="9" s="1"/>
  <c r="D7" i="9"/>
  <c r="E7" i="9" s="1"/>
  <c r="D6" i="9"/>
  <c r="E6" i="9" s="1"/>
  <c r="D5" i="9"/>
  <c r="E5" i="9" s="1"/>
  <c r="F5" i="9" s="1"/>
  <c r="D4" i="9"/>
  <c r="E4" i="9" s="1"/>
  <c r="D3" i="9"/>
  <c r="E3" i="9" s="1"/>
  <c r="D2" i="9"/>
  <c r="E2" i="9" s="1"/>
  <c r="D51" i="8"/>
  <c r="E51" i="8" s="1"/>
  <c r="D50" i="8"/>
  <c r="E50" i="8" s="1"/>
  <c r="D49" i="8"/>
  <c r="E49" i="8" s="1"/>
  <c r="D48" i="8"/>
  <c r="E48" i="8" s="1"/>
  <c r="D47" i="8"/>
  <c r="E47" i="8" s="1"/>
  <c r="D46" i="8"/>
  <c r="E46" i="8" s="1"/>
  <c r="D45" i="8"/>
  <c r="E45" i="8" s="1"/>
  <c r="F45" i="8" s="1"/>
  <c r="D44" i="8"/>
  <c r="E44" i="8" s="1"/>
  <c r="D43" i="8"/>
  <c r="E43" i="8" s="1"/>
  <c r="D42" i="8"/>
  <c r="E42" i="8" s="1"/>
  <c r="D41" i="8"/>
  <c r="E41" i="8" s="1"/>
  <c r="D40" i="8"/>
  <c r="E40" i="8" s="1"/>
  <c r="D39" i="8"/>
  <c r="E39" i="8" s="1"/>
  <c r="D38" i="8"/>
  <c r="E38" i="8" s="1"/>
  <c r="D37" i="8"/>
  <c r="E37" i="8" s="1"/>
  <c r="F37" i="8" s="1"/>
  <c r="D36" i="8"/>
  <c r="E36" i="8" s="1"/>
  <c r="D35" i="8"/>
  <c r="E35" i="8" s="1"/>
  <c r="G35" i="8" s="1"/>
  <c r="D34" i="8"/>
  <c r="E34" i="8" s="1"/>
  <c r="D33" i="8"/>
  <c r="E33" i="8" s="1"/>
  <c r="D32" i="8"/>
  <c r="E32" i="8" s="1"/>
  <c r="D31" i="8"/>
  <c r="E31" i="8" s="1"/>
  <c r="D30" i="8"/>
  <c r="E30" i="8" s="1"/>
  <c r="D29" i="8"/>
  <c r="E29" i="8" s="1"/>
  <c r="F29" i="8" s="1"/>
  <c r="D28" i="8"/>
  <c r="E28" i="8" s="1"/>
  <c r="D27" i="8"/>
  <c r="E27" i="8" s="1"/>
  <c r="G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F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F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F5" i="8" s="1"/>
  <c r="D4" i="8"/>
  <c r="E4" i="8" s="1"/>
  <c r="D3" i="8"/>
  <c r="E3" i="8" s="1"/>
  <c r="D2" i="8"/>
  <c r="E2" i="8" s="1"/>
  <c r="D43" i="7"/>
  <c r="E43" i="7" s="1"/>
  <c r="D44" i="7"/>
  <c r="E44" i="7" s="1"/>
  <c r="D45" i="7"/>
  <c r="E45" i="7" s="1"/>
  <c r="D46" i="7"/>
  <c r="E46" i="7" s="1"/>
  <c r="D47" i="7"/>
  <c r="E47" i="7" s="1"/>
  <c r="D48" i="7"/>
  <c r="E48" i="7" s="1"/>
  <c r="D49" i="7"/>
  <c r="E49" i="7" s="1"/>
  <c r="D50" i="7"/>
  <c r="E50" i="7" s="1"/>
  <c r="D51" i="7"/>
  <c r="E51" i="7" s="1"/>
  <c r="D42" i="7"/>
  <c r="E42" i="7" s="1"/>
  <c r="D33" i="7"/>
  <c r="E33" i="7" s="1"/>
  <c r="D34" i="7"/>
  <c r="E34" i="7" s="1"/>
  <c r="D35" i="7"/>
  <c r="E35" i="7" s="1"/>
  <c r="D36" i="7"/>
  <c r="E36" i="7" s="1"/>
  <c r="D37" i="7"/>
  <c r="E37" i="7" s="1"/>
  <c r="D38" i="7"/>
  <c r="E38" i="7" s="1"/>
  <c r="D39" i="7"/>
  <c r="E39" i="7" s="1"/>
  <c r="D40" i="7"/>
  <c r="E40" i="7" s="1"/>
  <c r="D41" i="7"/>
  <c r="E41" i="7" s="1"/>
  <c r="D32" i="7"/>
  <c r="E32" i="7" s="1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22" i="7"/>
  <c r="E22" i="7" s="1"/>
  <c r="D21" i="7"/>
  <c r="E21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12" i="7"/>
  <c r="E12" i="7" s="1"/>
  <c r="D3" i="7"/>
  <c r="D4" i="7"/>
  <c r="D5" i="7"/>
  <c r="D6" i="7"/>
  <c r="D7" i="7"/>
  <c r="D8" i="7"/>
  <c r="D9" i="7"/>
  <c r="E9" i="7" s="1"/>
  <c r="D10" i="7"/>
  <c r="D11" i="7"/>
  <c r="E11" i="7" s="1"/>
  <c r="D2" i="7"/>
  <c r="E2" i="7" s="1"/>
  <c r="E3" i="7"/>
  <c r="G3" i="7" s="1"/>
  <c r="E4" i="7"/>
  <c r="G4" i="7" s="1"/>
  <c r="E5" i="7"/>
  <c r="E6" i="7"/>
  <c r="G6" i="7" s="1"/>
  <c r="E7" i="7"/>
  <c r="G7" i="7" s="1"/>
  <c r="E8" i="7"/>
  <c r="G8" i="7" s="1"/>
  <c r="E10" i="7"/>
  <c r="G10" i="7" s="1"/>
  <c r="F43" i="7" l="1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42" i="7"/>
  <c r="G4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32" i="7"/>
  <c r="G3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22" i="7"/>
  <c r="G22" i="7"/>
  <c r="F21" i="7"/>
  <c r="G21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12" i="7"/>
  <c r="G12" i="7"/>
  <c r="G5" i="7"/>
  <c r="F5" i="7"/>
  <c r="F46" i="8"/>
  <c r="G46" i="8"/>
  <c r="G46" i="9"/>
  <c r="F46" i="9"/>
  <c r="F38" i="9"/>
  <c r="G38" i="9"/>
  <c r="G46" i="10"/>
  <c r="F46" i="10"/>
  <c r="F43" i="10"/>
  <c r="G43" i="10"/>
  <c r="G40" i="10"/>
  <c r="F40" i="10"/>
  <c r="F38" i="10"/>
  <c r="G38" i="10"/>
  <c r="F35" i="10"/>
  <c r="G35" i="10"/>
  <c r="G32" i="10"/>
  <c r="F32" i="10"/>
  <c r="G30" i="10"/>
  <c r="F30" i="10"/>
  <c r="F27" i="10"/>
  <c r="G27" i="10"/>
  <c r="G24" i="10"/>
  <c r="F24" i="10"/>
  <c r="F22" i="10"/>
  <c r="G22" i="10"/>
  <c r="F19" i="10"/>
  <c r="G19" i="10"/>
  <c r="G16" i="10"/>
  <c r="F16" i="10"/>
  <c r="F14" i="10"/>
  <c r="G14" i="10"/>
  <c r="F11" i="10"/>
  <c r="G11" i="10"/>
  <c r="F6" i="10"/>
  <c r="G6" i="10"/>
  <c r="F3" i="10"/>
  <c r="G3" i="10"/>
  <c r="F51" i="11"/>
  <c r="G51" i="11"/>
  <c r="F46" i="11"/>
  <c r="G46" i="11"/>
  <c r="F43" i="11"/>
  <c r="G43" i="11"/>
  <c r="F35" i="11"/>
  <c r="G35" i="11"/>
  <c r="G32" i="11"/>
  <c r="F32" i="11"/>
  <c r="F27" i="11"/>
  <c r="G27" i="11"/>
  <c r="G24" i="11"/>
  <c r="F24" i="11"/>
  <c r="F19" i="11"/>
  <c r="G19" i="11"/>
  <c r="G16" i="11"/>
  <c r="F16" i="11"/>
  <c r="F11" i="11"/>
  <c r="G11" i="11"/>
  <c r="G8" i="11"/>
  <c r="F8" i="11"/>
  <c r="F3" i="11"/>
  <c r="G3" i="11"/>
  <c r="G50" i="12"/>
  <c r="F50" i="12"/>
  <c r="F45" i="12"/>
  <c r="G45" i="12"/>
  <c r="G42" i="12"/>
  <c r="F42" i="12"/>
  <c r="F37" i="12"/>
  <c r="G37" i="12"/>
  <c r="G34" i="12"/>
  <c r="F34" i="12"/>
  <c r="G26" i="12"/>
  <c r="F26" i="12"/>
  <c r="G18" i="12"/>
  <c r="F18" i="12"/>
  <c r="G10" i="12"/>
  <c r="F10" i="12"/>
  <c r="G2" i="12"/>
  <c r="F2" i="12"/>
  <c r="F46" i="13"/>
  <c r="G46" i="13"/>
  <c r="G45" i="13"/>
  <c r="F45" i="13"/>
  <c r="G38" i="13"/>
  <c r="F38" i="13"/>
  <c r="G37" i="13"/>
  <c r="F37" i="13"/>
  <c r="G29" i="13"/>
  <c r="F29" i="13"/>
  <c r="G25" i="13"/>
  <c r="F25" i="13"/>
  <c r="G21" i="13"/>
  <c r="F21" i="13"/>
  <c r="G14" i="13"/>
  <c r="F14" i="13"/>
  <c r="G13" i="13"/>
  <c r="F13" i="13"/>
  <c r="G5" i="13"/>
  <c r="F5" i="13"/>
  <c r="F46" i="14"/>
  <c r="G46" i="14"/>
  <c r="G45" i="14"/>
  <c r="F45" i="14"/>
  <c r="F38" i="14"/>
  <c r="G38" i="14"/>
  <c r="G37" i="14"/>
  <c r="F37" i="14"/>
  <c r="F30" i="14"/>
  <c r="G30" i="14"/>
  <c r="G29" i="14"/>
  <c r="F29" i="14"/>
  <c r="G21" i="14"/>
  <c r="F21" i="14"/>
  <c r="G13" i="14"/>
  <c r="F13" i="14"/>
  <c r="G5" i="14"/>
  <c r="F5" i="14"/>
  <c r="F46" i="15"/>
  <c r="G46" i="15"/>
  <c r="F38" i="15"/>
  <c r="G38" i="15"/>
  <c r="K8" i="16"/>
  <c r="F46" i="17"/>
  <c r="G46" i="17"/>
  <c r="G38" i="17"/>
  <c r="F38" i="17"/>
  <c r="F46" i="18"/>
  <c r="G46" i="18"/>
  <c r="G45" i="18"/>
  <c r="F45" i="18"/>
  <c r="F38" i="18"/>
  <c r="G38" i="18"/>
  <c r="G37" i="18"/>
  <c r="F37" i="18"/>
  <c r="F30" i="18"/>
  <c r="G30" i="18"/>
  <c r="G29" i="18"/>
  <c r="F29" i="18"/>
  <c r="F22" i="18"/>
  <c r="G22" i="18"/>
  <c r="G21" i="18"/>
  <c r="F21" i="18"/>
  <c r="G14" i="18"/>
  <c r="F14" i="18"/>
  <c r="G13" i="18"/>
  <c r="F13" i="18"/>
  <c r="G6" i="18"/>
  <c r="F6" i="18"/>
  <c r="G5" i="18"/>
  <c r="F5" i="18"/>
  <c r="F46" i="19"/>
  <c r="G46" i="19"/>
  <c r="F45" i="19"/>
  <c r="G45" i="19"/>
  <c r="F37" i="19"/>
  <c r="G37" i="19"/>
  <c r="F29" i="19"/>
  <c r="G29" i="19"/>
  <c r="F21" i="19"/>
  <c r="G21" i="19"/>
  <c r="F13" i="19"/>
  <c r="G13" i="19"/>
  <c r="F5" i="19"/>
  <c r="G5" i="19"/>
  <c r="K5" i="16"/>
  <c r="G3" i="16"/>
  <c r="G11" i="16"/>
  <c r="F13" i="16"/>
  <c r="G27" i="16"/>
  <c r="G38" i="16"/>
  <c r="F38" i="16"/>
  <c r="G35" i="16"/>
  <c r="F5" i="16"/>
  <c r="F15" i="16"/>
  <c r="F21" i="16"/>
  <c r="G46" i="16"/>
  <c r="F46" i="16"/>
  <c r="F29" i="16"/>
  <c r="F37" i="16"/>
  <c r="F45" i="16"/>
  <c r="F7" i="16"/>
  <c r="G19" i="16"/>
  <c r="G14" i="19"/>
  <c r="F14" i="19"/>
  <c r="G23" i="19"/>
  <c r="F23" i="19"/>
  <c r="G32" i="19"/>
  <c r="F32" i="19"/>
  <c r="G41" i="19"/>
  <c r="F41" i="19"/>
  <c r="F47" i="19"/>
  <c r="G47" i="19"/>
  <c r="G6" i="19"/>
  <c r="F6" i="19"/>
  <c r="G48" i="19"/>
  <c r="F48" i="19"/>
  <c r="F7" i="19"/>
  <c r="G7" i="19"/>
  <c r="G16" i="19"/>
  <c r="F16" i="19"/>
  <c r="G25" i="19"/>
  <c r="F25" i="19"/>
  <c r="G49" i="19"/>
  <c r="F49" i="19"/>
  <c r="G8" i="19"/>
  <c r="F8" i="19"/>
  <c r="G17" i="19"/>
  <c r="F17" i="19"/>
  <c r="G9" i="19"/>
  <c r="F9" i="19"/>
  <c r="F15" i="19"/>
  <c r="G15" i="19"/>
  <c r="G38" i="19"/>
  <c r="F38" i="19"/>
  <c r="G24" i="19"/>
  <c r="F24" i="19"/>
  <c r="G30" i="19"/>
  <c r="F30" i="19"/>
  <c r="F39" i="19"/>
  <c r="G39" i="19"/>
  <c r="G33" i="19"/>
  <c r="F33" i="19"/>
  <c r="G22" i="19"/>
  <c r="F22" i="19"/>
  <c r="F31" i="19"/>
  <c r="G31" i="19"/>
  <c r="G40" i="19"/>
  <c r="F40" i="19"/>
  <c r="F2" i="19"/>
  <c r="F10" i="19"/>
  <c r="F18" i="19"/>
  <c r="F26" i="19"/>
  <c r="F34" i="19"/>
  <c r="F42" i="19"/>
  <c r="F50" i="19"/>
  <c r="F4" i="19"/>
  <c r="F12" i="19"/>
  <c r="F20" i="19"/>
  <c r="F28" i="19"/>
  <c r="F36" i="19"/>
  <c r="F44" i="19"/>
  <c r="G4" i="19"/>
  <c r="G12" i="19"/>
  <c r="G20" i="19"/>
  <c r="G28" i="19"/>
  <c r="G36" i="19"/>
  <c r="G44" i="19"/>
  <c r="F3" i="19"/>
  <c r="F11" i="19"/>
  <c r="F19" i="19"/>
  <c r="F27" i="19"/>
  <c r="F35" i="19"/>
  <c r="F43" i="19"/>
  <c r="F51" i="19"/>
  <c r="G3" i="19"/>
  <c r="G11" i="19"/>
  <c r="G19" i="19"/>
  <c r="G27" i="19"/>
  <c r="G35" i="19"/>
  <c r="G43" i="19"/>
  <c r="G51" i="19"/>
  <c r="G8" i="18"/>
  <c r="F8" i="18"/>
  <c r="G10" i="18"/>
  <c r="F10" i="18"/>
  <c r="G17" i="18"/>
  <c r="F17" i="18"/>
  <c r="G24" i="18"/>
  <c r="F24" i="18"/>
  <c r="G44" i="18"/>
  <c r="F44" i="18"/>
  <c r="G18" i="18"/>
  <c r="F18" i="18"/>
  <c r="G25" i="18"/>
  <c r="F25" i="18"/>
  <c r="G32" i="18"/>
  <c r="F32" i="18"/>
  <c r="F26" i="18"/>
  <c r="G26" i="18"/>
  <c r="G33" i="18"/>
  <c r="F33" i="18"/>
  <c r="G40" i="18"/>
  <c r="F40" i="18"/>
  <c r="G4" i="18"/>
  <c r="F4" i="18"/>
  <c r="F34" i="18"/>
  <c r="G34" i="18"/>
  <c r="G41" i="18"/>
  <c r="F41" i="18"/>
  <c r="G48" i="18"/>
  <c r="F48" i="18"/>
  <c r="G12" i="18"/>
  <c r="F12" i="18"/>
  <c r="F42" i="18"/>
  <c r="G42" i="18"/>
  <c r="G49" i="18"/>
  <c r="F49" i="18"/>
  <c r="G20" i="18"/>
  <c r="F20" i="18"/>
  <c r="G50" i="18"/>
  <c r="F50" i="18"/>
  <c r="G28" i="18"/>
  <c r="F28" i="18"/>
  <c r="F2" i="18"/>
  <c r="G2" i="18"/>
  <c r="G9" i="18"/>
  <c r="F9" i="18"/>
  <c r="G16" i="18"/>
  <c r="F16" i="18"/>
  <c r="G36" i="18"/>
  <c r="F36" i="18"/>
  <c r="F7" i="18"/>
  <c r="F15" i="18"/>
  <c r="F23" i="18"/>
  <c r="F31" i="18"/>
  <c r="F39" i="18"/>
  <c r="F47" i="18"/>
  <c r="G7" i="18"/>
  <c r="G15" i="18"/>
  <c r="G23" i="18"/>
  <c r="G31" i="18"/>
  <c r="G39" i="18"/>
  <c r="G47" i="18"/>
  <c r="F3" i="18"/>
  <c r="F11" i="18"/>
  <c r="F19" i="18"/>
  <c r="F27" i="18"/>
  <c r="F35" i="18"/>
  <c r="F43" i="18"/>
  <c r="F51" i="18"/>
  <c r="G51" i="18"/>
  <c r="G17" i="17"/>
  <c r="F17" i="17"/>
  <c r="F31" i="17"/>
  <c r="G31" i="17"/>
  <c r="G2" i="17"/>
  <c r="F2" i="17"/>
  <c r="G6" i="17"/>
  <c r="F6" i="17"/>
  <c r="G18" i="17"/>
  <c r="F18" i="17"/>
  <c r="G32" i="17"/>
  <c r="F32" i="17"/>
  <c r="F39" i="17"/>
  <c r="G39" i="17"/>
  <c r="F7" i="17"/>
  <c r="G7" i="17"/>
  <c r="G22" i="17"/>
  <c r="F22" i="17"/>
  <c r="G33" i="17"/>
  <c r="F33" i="17"/>
  <c r="G40" i="17"/>
  <c r="F40" i="17"/>
  <c r="G47" i="17"/>
  <c r="F47" i="17"/>
  <c r="G8" i="17"/>
  <c r="F8" i="17"/>
  <c r="G23" i="17"/>
  <c r="F23" i="17"/>
  <c r="F34" i="17"/>
  <c r="G34" i="17"/>
  <c r="G48" i="17"/>
  <c r="F48" i="17"/>
  <c r="G41" i="17"/>
  <c r="F41" i="17"/>
  <c r="G9" i="17"/>
  <c r="F9" i="17"/>
  <c r="G24" i="17"/>
  <c r="F24" i="17"/>
  <c r="G42" i="17"/>
  <c r="F42" i="17"/>
  <c r="G49" i="17"/>
  <c r="F49" i="17"/>
  <c r="G10" i="17"/>
  <c r="F10" i="17"/>
  <c r="G14" i="17"/>
  <c r="F14" i="17"/>
  <c r="G25" i="17"/>
  <c r="F25" i="17"/>
  <c r="G50" i="17"/>
  <c r="F50" i="17"/>
  <c r="G15" i="17"/>
  <c r="F15" i="17"/>
  <c r="G26" i="17"/>
  <c r="F26" i="17"/>
  <c r="G16" i="17"/>
  <c r="F16" i="17"/>
  <c r="G30" i="17"/>
  <c r="F30" i="17"/>
  <c r="G5" i="17"/>
  <c r="G13" i="17"/>
  <c r="G21" i="17"/>
  <c r="G29" i="17"/>
  <c r="G37" i="17"/>
  <c r="G45" i="17"/>
  <c r="F4" i="17"/>
  <c r="F12" i="17"/>
  <c r="F20" i="17"/>
  <c r="F28" i="17"/>
  <c r="F36" i="17"/>
  <c r="F44" i="17"/>
  <c r="G4" i="17"/>
  <c r="G12" i="17"/>
  <c r="G20" i="17"/>
  <c r="G28" i="17"/>
  <c r="G36" i="17"/>
  <c r="G44" i="17"/>
  <c r="F3" i="17"/>
  <c r="F11" i="17"/>
  <c r="F19" i="17"/>
  <c r="F27" i="17"/>
  <c r="F35" i="17"/>
  <c r="F43" i="17"/>
  <c r="F51" i="17"/>
  <c r="G3" i="17"/>
  <c r="G11" i="17"/>
  <c r="G51" i="17"/>
  <c r="G25" i="16"/>
  <c r="F25" i="16"/>
  <c r="G26" i="16"/>
  <c r="F26" i="16"/>
  <c r="G16" i="16"/>
  <c r="F16" i="16"/>
  <c r="G30" i="16"/>
  <c r="F30" i="16"/>
  <c r="F47" i="16"/>
  <c r="G47" i="16"/>
  <c r="G8" i="16"/>
  <c r="F8" i="16"/>
  <c r="G17" i="16"/>
  <c r="F17" i="16"/>
  <c r="F31" i="16"/>
  <c r="G31" i="16"/>
  <c r="F39" i="16"/>
  <c r="G39" i="16"/>
  <c r="G48" i="16"/>
  <c r="F48" i="16"/>
  <c r="G2" i="16"/>
  <c r="F2" i="16"/>
  <c r="G14" i="16"/>
  <c r="F14" i="16"/>
  <c r="F23" i="16"/>
  <c r="G23" i="16"/>
  <c r="G9" i="16"/>
  <c r="F9" i="16"/>
  <c r="F18" i="16"/>
  <c r="G18" i="16"/>
  <c r="G32" i="16"/>
  <c r="F32" i="16"/>
  <c r="G40" i="16"/>
  <c r="F40" i="16"/>
  <c r="G49" i="16"/>
  <c r="F49" i="16"/>
  <c r="G10" i="16"/>
  <c r="F10" i="16"/>
  <c r="G22" i="16"/>
  <c r="F22" i="16"/>
  <c r="G33" i="16"/>
  <c r="F33" i="16"/>
  <c r="G41" i="16"/>
  <c r="F41" i="16"/>
  <c r="G50" i="16"/>
  <c r="F50" i="16"/>
  <c r="G34" i="16"/>
  <c r="F34" i="16"/>
  <c r="G42" i="16"/>
  <c r="F42" i="16"/>
  <c r="G6" i="16"/>
  <c r="F6" i="16"/>
  <c r="G24" i="16"/>
  <c r="F24" i="16"/>
  <c r="G5" i="16"/>
  <c r="G13" i="16"/>
  <c r="G21" i="16"/>
  <c r="G29" i="16"/>
  <c r="G37" i="16"/>
  <c r="G45" i="16"/>
  <c r="F4" i="16"/>
  <c r="G7" i="16"/>
  <c r="F12" i="16"/>
  <c r="G15" i="16"/>
  <c r="F20" i="16"/>
  <c r="F28" i="16"/>
  <c r="F36" i="16"/>
  <c r="F44" i="16"/>
  <c r="G4" i="16"/>
  <c r="G12" i="16"/>
  <c r="G20" i="16"/>
  <c r="G28" i="16"/>
  <c r="G36" i="16"/>
  <c r="G44" i="16"/>
  <c r="F3" i="16"/>
  <c r="F11" i="16"/>
  <c r="F19" i="16"/>
  <c r="F27" i="16"/>
  <c r="F35" i="16"/>
  <c r="F43" i="16"/>
  <c r="F51" i="16"/>
  <c r="G43" i="16"/>
  <c r="G51" i="16"/>
  <c r="G26" i="15"/>
  <c r="F26" i="15"/>
  <c r="G2" i="15"/>
  <c r="F2" i="15"/>
  <c r="G16" i="15"/>
  <c r="F16" i="15"/>
  <c r="G30" i="15"/>
  <c r="F30" i="15"/>
  <c r="F15" i="15"/>
  <c r="G15" i="15"/>
  <c r="G6" i="15"/>
  <c r="F6" i="15"/>
  <c r="G17" i="15"/>
  <c r="F17" i="15"/>
  <c r="F31" i="15"/>
  <c r="G31" i="15"/>
  <c r="F39" i="15"/>
  <c r="G39" i="15"/>
  <c r="G47" i="15"/>
  <c r="F47" i="15"/>
  <c r="F7" i="15"/>
  <c r="G7" i="15"/>
  <c r="F18" i="15"/>
  <c r="G18" i="15"/>
  <c r="G32" i="15"/>
  <c r="F32" i="15"/>
  <c r="G40" i="15"/>
  <c r="F40" i="15"/>
  <c r="G48" i="15"/>
  <c r="F48" i="15"/>
  <c r="G8" i="15"/>
  <c r="F8" i="15"/>
  <c r="G22" i="15"/>
  <c r="F22" i="15"/>
  <c r="G33" i="15"/>
  <c r="F33" i="15"/>
  <c r="G41" i="15"/>
  <c r="F41" i="15"/>
  <c r="G49" i="15"/>
  <c r="F49" i="15"/>
  <c r="G9" i="15"/>
  <c r="F9" i="15"/>
  <c r="F23" i="15"/>
  <c r="G23" i="15"/>
  <c r="G34" i="15"/>
  <c r="F34" i="15"/>
  <c r="G42" i="15"/>
  <c r="F42" i="15"/>
  <c r="G50" i="15"/>
  <c r="F50" i="15"/>
  <c r="G10" i="15"/>
  <c r="F10" i="15"/>
  <c r="G24" i="15"/>
  <c r="F24" i="15"/>
  <c r="G14" i="15"/>
  <c r="F14" i="15"/>
  <c r="G25" i="15"/>
  <c r="F25" i="15"/>
  <c r="G5" i="15"/>
  <c r="G13" i="15"/>
  <c r="G21" i="15"/>
  <c r="G29" i="15"/>
  <c r="G37" i="15"/>
  <c r="G45" i="15"/>
  <c r="F4" i="15"/>
  <c r="F12" i="15"/>
  <c r="F20" i="15"/>
  <c r="F28" i="15"/>
  <c r="F36" i="15"/>
  <c r="F44" i="15"/>
  <c r="G4" i="15"/>
  <c r="G12" i="15"/>
  <c r="G20" i="15"/>
  <c r="G28" i="15"/>
  <c r="G36" i="15"/>
  <c r="G44" i="15"/>
  <c r="F3" i="15"/>
  <c r="F11" i="15"/>
  <c r="F19" i="15"/>
  <c r="F27" i="15"/>
  <c r="F35" i="15"/>
  <c r="F43" i="15"/>
  <c r="F51" i="15"/>
  <c r="G51" i="15"/>
  <c r="G20" i="14"/>
  <c r="F20" i="14"/>
  <c r="G2" i="14"/>
  <c r="F2" i="14"/>
  <c r="G44" i="14"/>
  <c r="F44" i="14"/>
  <c r="G12" i="14"/>
  <c r="F12" i="14"/>
  <c r="G22" i="14"/>
  <c r="F22" i="14"/>
  <c r="G36" i="14"/>
  <c r="F36" i="14"/>
  <c r="F42" i="14"/>
  <c r="G42" i="14"/>
  <c r="G6" i="14"/>
  <c r="F6" i="14"/>
  <c r="G8" i="14"/>
  <c r="F8" i="14"/>
  <c r="F18" i="14"/>
  <c r="G18" i="14"/>
  <c r="G28" i="14"/>
  <c r="F28" i="14"/>
  <c r="G48" i="14"/>
  <c r="F48" i="14"/>
  <c r="G9" i="14"/>
  <c r="F9" i="14"/>
  <c r="G40" i="14"/>
  <c r="F40" i="14"/>
  <c r="G49" i="14"/>
  <c r="F49" i="14"/>
  <c r="G4" i="14"/>
  <c r="F4" i="14"/>
  <c r="G14" i="14"/>
  <c r="F14" i="14"/>
  <c r="F10" i="14"/>
  <c r="G10" i="14"/>
  <c r="G24" i="14"/>
  <c r="F24" i="14"/>
  <c r="G32" i="14"/>
  <c r="F32" i="14"/>
  <c r="G41" i="14"/>
  <c r="F41" i="14"/>
  <c r="G50" i="14"/>
  <c r="F50" i="14"/>
  <c r="G25" i="14"/>
  <c r="F25" i="14"/>
  <c r="G33" i="14"/>
  <c r="F33" i="14"/>
  <c r="G16" i="14"/>
  <c r="F16" i="14"/>
  <c r="F26" i="14"/>
  <c r="G26" i="14"/>
  <c r="G34" i="14"/>
  <c r="F34" i="14"/>
  <c r="F7" i="14"/>
  <c r="F15" i="14"/>
  <c r="F23" i="14"/>
  <c r="F31" i="14"/>
  <c r="F39" i="14"/>
  <c r="F47" i="14"/>
  <c r="G7" i="14"/>
  <c r="G15" i="14"/>
  <c r="G23" i="14"/>
  <c r="G31" i="14"/>
  <c r="G39" i="14"/>
  <c r="G47" i="14"/>
  <c r="F17" i="14"/>
  <c r="F3" i="14"/>
  <c r="F11" i="14"/>
  <c r="F19" i="14"/>
  <c r="F27" i="14"/>
  <c r="F35" i="14"/>
  <c r="F43" i="14"/>
  <c r="F51" i="14"/>
  <c r="G3" i="14"/>
  <c r="G11" i="14"/>
  <c r="G19" i="14"/>
  <c r="G35" i="14"/>
  <c r="G43" i="14"/>
  <c r="G51" i="14"/>
  <c r="F18" i="13"/>
  <c r="G18" i="13"/>
  <c r="G22" i="13"/>
  <c r="F22" i="13"/>
  <c r="G30" i="13"/>
  <c r="F30" i="13"/>
  <c r="G36" i="13"/>
  <c r="F36" i="13"/>
  <c r="G44" i="13"/>
  <c r="F44" i="13"/>
  <c r="G2" i="13"/>
  <c r="F2" i="13"/>
  <c r="G6" i="13"/>
  <c r="F6" i="13"/>
  <c r="G10" i="13"/>
  <c r="F10" i="13"/>
  <c r="G12" i="13"/>
  <c r="F12" i="13"/>
  <c r="G24" i="13"/>
  <c r="F24" i="13"/>
  <c r="G32" i="13"/>
  <c r="F32" i="13"/>
  <c r="G20" i="13"/>
  <c r="F20" i="13"/>
  <c r="G28" i="13"/>
  <c r="F28" i="13"/>
  <c r="G33" i="13"/>
  <c r="F33" i="13"/>
  <c r="G40" i="13"/>
  <c r="F40" i="13"/>
  <c r="G48" i="13"/>
  <c r="F48" i="13"/>
  <c r="G8" i="13"/>
  <c r="F8" i="13"/>
  <c r="F34" i="13"/>
  <c r="G34" i="13"/>
  <c r="G41" i="13"/>
  <c r="F41" i="13"/>
  <c r="G49" i="13"/>
  <c r="F49" i="13"/>
  <c r="G4" i="13"/>
  <c r="F4" i="13"/>
  <c r="G9" i="13"/>
  <c r="F9" i="13"/>
  <c r="G16" i="13"/>
  <c r="F16" i="13"/>
  <c r="F42" i="13"/>
  <c r="G42" i="13"/>
  <c r="G50" i="13"/>
  <c r="F50" i="13"/>
  <c r="G17" i="13"/>
  <c r="F17" i="13"/>
  <c r="F26" i="13"/>
  <c r="G26" i="13"/>
  <c r="F7" i="13"/>
  <c r="F15" i="13"/>
  <c r="F23" i="13"/>
  <c r="F31" i="13"/>
  <c r="F39" i="13"/>
  <c r="F47" i="13"/>
  <c r="G7" i="13"/>
  <c r="G15" i="13"/>
  <c r="G23" i="13"/>
  <c r="G31" i="13"/>
  <c r="G39" i="13"/>
  <c r="G47" i="13"/>
  <c r="F3" i="13"/>
  <c r="F11" i="13"/>
  <c r="F19" i="13"/>
  <c r="F27" i="13"/>
  <c r="F35" i="13"/>
  <c r="F43" i="13"/>
  <c r="F51" i="13"/>
  <c r="G43" i="13"/>
  <c r="G51" i="13"/>
  <c r="G22" i="12"/>
  <c r="F22" i="12"/>
  <c r="G32" i="12"/>
  <c r="F32" i="12"/>
  <c r="G39" i="12"/>
  <c r="F39" i="12"/>
  <c r="G14" i="12"/>
  <c r="F14" i="12"/>
  <c r="G24" i="12"/>
  <c r="F24" i="12"/>
  <c r="G41" i="12"/>
  <c r="F41" i="12"/>
  <c r="G48" i="12"/>
  <c r="F48" i="12"/>
  <c r="F15" i="12"/>
  <c r="G15" i="12"/>
  <c r="G25" i="12"/>
  <c r="F25" i="12"/>
  <c r="G6" i="12"/>
  <c r="F6" i="12"/>
  <c r="G16" i="12"/>
  <c r="F16" i="12"/>
  <c r="F5" i="12"/>
  <c r="G5" i="12"/>
  <c r="G49" i="12"/>
  <c r="F49" i="12"/>
  <c r="F7" i="12"/>
  <c r="G7" i="12"/>
  <c r="G17" i="12"/>
  <c r="F17" i="12"/>
  <c r="F29" i="12"/>
  <c r="G29" i="12"/>
  <c r="G8" i="12"/>
  <c r="F8" i="12"/>
  <c r="G30" i="12"/>
  <c r="F30" i="12"/>
  <c r="G9" i="12"/>
  <c r="F9" i="12"/>
  <c r="F21" i="12"/>
  <c r="G21" i="12"/>
  <c r="F31" i="12"/>
  <c r="G31" i="12"/>
  <c r="G38" i="12"/>
  <c r="F38" i="12"/>
  <c r="G46" i="12"/>
  <c r="F46" i="12"/>
  <c r="F13" i="12"/>
  <c r="G13" i="12"/>
  <c r="F23" i="12"/>
  <c r="G23" i="12"/>
  <c r="G33" i="12"/>
  <c r="F33" i="12"/>
  <c r="G40" i="12"/>
  <c r="F40" i="12"/>
  <c r="G47" i="12"/>
  <c r="F47" i="12"/>
  <c r="F4" i="12"/>
  <c r="G4" i="12"/>
  <c r="G12" i="12"/>
  <c r="G20" i="12"/>
  <c r="G28" i="12"/>
  <c r="G36" i="12"/>
  <c r="G44" i="12"/>
  <c r="F12" i="12"/>
  <c r="F28" i="12"/>
  <c r="F3" i="12"/>
  <c r="F11" i="12"/>
  <c r="F19" i="12"/>
  <c r="F27" i="12"/>
  <c r="F35" i="12"/>
  <c r="F43" i="12"/>
  <c r="F51" i="12"/>
  <c r="G51" i="12"/>
  <c r="G33" i="11"/>
  <c r="F33" i="11"/>
  <c r="F5" i="11"/>
  <c r="G5" i="11"/>
  <c r="F13" i="11"/>
  <c r="G13" i="11"/>
  <c r="F21" i="11"/>
  <c r="G21" i="11"/>
  <c r="G14" i="11"/>
  <c r="F14" i="11"/>
  <c r="G22" i="11"/>
  <c r="F22" i="11"/>
  <c r="F29" i="11"/>
  <c r="G29" i="11"/>
  <c r="F7" i="11"/>
  <c r="G7" i="11"/>
  <c r="F15" i="11"/>
  <c r="G15" i="11"/>
  <c r="F23" i="11"/>
  <c r="G23" i="11"/>
  <c r="G30" i="11"/>
  <c r="F30" i="11"/>
  <c r="F37" i="11"/>
  <c r="G37" i="11"/>
  <c r="F45" i="11"/>
  <c r="G45" i="11"/>
  <c r="F47" i="11"/>
  <c r="G47" i="11"/>
  <c r="G6" i="11"/>
  <c r="F6" i="11"/>
  <c r="F31" i="11"/>
  <c r="G31" i="11"/>
  <c r="G38" i="11"/>
  <c r="F38" i="11"/>
  <c r="G49" i="11"/>
  <c r="F49" i="11"/>
  <c r="F39" i="11"/>
  <c r="G39" i="11"/>
  <c r="G50" i="11"/>
  <c r="F50" i="11"/>
  <c r="G9" i="11"/>
  <c r="F9" i="11"/>
  <c r="G17" i="11"/>
  <c r="F17" i="11"/>
  <c r="G25" i="11"/>
  <c r="F25" i="11"/>
  <c r="G41" i="11"/>
  <c r="F41" i="11"/>
  <c r="F2" i="11"/>
  <c r="F10" i="11"/>
  <c r="F18" i="11"/>
  <c r="F26" i="11"/>
  <c r="F34" i="11"/>
  <c r="F42" i="11"/>
  <c r="F4" i="11"/>
  <c r="F12" i="11"/>
  <c r="F20" i="11"/>
  <c r="F28" i="11"/>
  <c r="F36" i="11"/>
  <c r="F44" i="11"/>
  <c r="G4" i="11"/>
  <c r="G12" i="11"/>
  <c r="G20" i="11"/>
  <c r="G28" i="11"/>
  <c r="G36" i="11"/>
  <c r="G44" i="11"/>
  <c r="F40" i="11"/>
  <c r="F48" i="11"/>
  <c r="G25" i="10"/>
  <c r="F25" i="10"/>
  <c r="G28" i="10"/>
  <c r="F28" i="10"/>
  <c r="G4" i="10"/>
  <c r="F4" i="10"/>
  <c r="F29" i="10"/>
  <c r="G29" i="10"/>
  <c r="F5" i="10"/>
  <c r="G5" i="10"/>
  <c r="G41" i="10"/>
  <c r="F41" i="10"/>
  <c r="G44" i="10"/>
  <c r="F44" i="10"/>
  <c r="G12" i="10"/>
  <c r="F12" i="10"/>
  <c r="F37" i="10"/>
  <c r="G37" i="10"/>
  <c r="F13" i="10"/>
  <c r="G13" i="10"/>
  <c r="G17" i="10"/>
  <c r="F17" i="10"/>
  <c r="G20" i="10"/>
  <c r="F20" i="10"/>
  <c r="F45" i="10"/>
  <c r="G45" i="10"/>
  <c r="G48" i="10"/>
  <c r="F48" i="10"/>
  <c r="F21" i="10"/>
  <c r="G21" i="10"/>
  <c r="G49" i="10"/>
  <c r="F49" i="10"/>
  <c r="G9" i="10"/>
  <c r="F9" i="10"/>
  <c r="G33" i="10"/>
  <c r="F33" i="10"/>
  <c r="G36" i="10"/>
  <c r="F36" i="10"/>
  <c r="G50" i="10"/>
  <c r="F50" i="10"/>
  <c r="G2" i="10"/>
  <c r="F7" i="10"/>
  <c r="G10" i="10"/>
  <c r="F15" i="10"/>
  <c r="G18" i="10"/>
  <c r="F23" i="10"/>
  <c r="G26" i="10"/>
  <c r="F31" i="10"/>
  <c r="G34" i="10"/>
  <c r="F39" i="10"/>
  <c r="G42" i="10"/>
  <c r="F47" i="10"/>
  <c r="G7" i="10"/>
  <c r="G15" i="10"/>
  <c r="G23" i="10"/>
  <c r="G31" i="10"/>
  <c r="G39" i="10"/>
  <c r="G47" i="10"/>
  <c r="F51" i="10"/>
  <c r="F8" i="10"/>
  <c r="G51" i="10"/>
  <c r="G26" i="9"/>
  <c r="F26" i="9"/>
  <c r="G16" i="9"/>
  <c r="F16" i="9"/>
  <c r="G30" i="9"/>
  <c r="F30" i="9"/>
  <c r="G2" i="9"/>
  <c r="F2" i="9"/>
  <c r="G6" i="9"/>
  <c r="F6" i="9"/>
  <c r="G17" i="9"/>
  <c r="F17" i="9"/>
  <c r="G31" i="9"/>
  <c r="F31" i="9"/>
  <c r="F7" i="9"/>
  <c r="G7" i="9"/>
  <c r="G18" i="9"/>
  <c r="F18" i="9"/>
  <c r="G32" i="9"/>
  <c r="F32" i="9"/>
  <c r="F39" i="9"/>
  <c r="G39" i="9"/>
  <c r="G8" i="9"/>
  <c r="F8" i="9"/>
  <c r="G22" i="9"/>
  <c r="F22" i="9"/>
  <c r="G33" i="9"/>
  <c r="F33" i="9"/>
  <c r="G40" i="9"/>
  <c r="F40" i="9"/>
  <c r="F47" i="9"/>
  <c r="G47" i="9"/>
  <c r="G15" i="9"/>
  <c r="F15" i="9"/>
  <c r="G9" i="9"/>
  <c r="F9" i="9"/>
  <c r="F23" i="9"/>
  <c r="G23" i="9"/>
  <c r="G34" i="9"/>
  <c r="F34" i="9"/>
  <c r="G41" i="9"/>
  <c r="F41" i="9"/>
  <c r="G48" i="9"/>
  <c r="F48" i="9"/>
  <c r="G10" i="9"/>
  <c r="F10" i="9"/>
  <c r="G24" i="9"/>
  <c r="F24" i="9"/>
  <c r="G42" i="9"/>
  <c r="F42" i="9"/>
  <c r="G49" i="9"/>
  <c r="F49" i="9"/>
  <c r="G14" i="9"/>
  <c r="F14" i="9"/>
  <c r="G25" i="9"/>
  <c r="F25" i="9"/>
  <c r="G50" i="9"/>
  <c r="F50" i="9"/>
  <c r="G5" i="9"/>
  <c r="G13" i="9"/>
  <c r="G21" i="9"/>
  <c r="G29" i="9"/>
  <c r="G37" i="9"/>
  <c r="G45" i="9"/>
  <c r="F4" i="9"/>
  <c r="F12" i="9"/>
  <c r="F20" i="9"/>
  <c r="F28" i="9"/>
  <c r="F36" i="9"/>
  <c r="F44" i="9"/>
  <c r="G4" i="9"/>
  <c r="G12" i="9"/>
  <c r="G20" i="9"/>
  <c r="G28" i="9"/>
  <c r="G36" i="9"/>
  <c r="G44" i="9"/>
  <c r="F3" i="9"/>
  <c r="F11" i="9"/>
  <c r="F19" i="9"/>
  <c r="F27" i="9"/>
  <c r="F35" i="9"/>
  <c r="F43" i="9"/>
  <c r="F51" i="9"/>
  <c r="G3" i="9"/>
  <c r="G51" i="9"/>
  <c r="G8" i="8"/>
  <c r="F8" i="8"/>
  <c r="G2" i="8"/>
  <c r="F2" i="8"/>
  <c r="G6" i="8"/>
  <c r="F6" i="8"/>
  <c r="G18" i="8"/>
  <c r="F18" i="8"/>
  <c r="G22" i="8"/>
  <c r="F22" i="8"/>
  <c r="G33" i="8"/>
  <c r="F33" i="8"/>
  <c r="F47" i="8"/>
  <c r="G47" i="8"/>
  <c r="G9" i="8"/>
  <c r="F9" i="8"/>
  <c r="G25" i="8"/>
  <c r="F25" i="8"/>
  <c r="F39" i="8"/>
  <c r="G39" i="8"/>
  <c r="G48" i="8"/>
  <c r="F48" i="8"/>
  <c r="F23" i="8"/>
  <c r="G23" i="8"/>
  <c r="G10" i="8"/>
  <c r="F10" i="8"/>
  <c r="G14" i="8"/>
  <c r="F14" i="8"/>
  <c r="G26" i="8"/>
  <c r="F26" i="8"/>
  <c r="G40" i="8"/>
  <c r="F40" i="8"/>
  <c r="G49" i="8"/>
  <c r="F49" i="8"/>
  <c r="F7" i="8"/>
  <c r="G7" i="8"/>
  <c r="G38" i="8"/>
  <c r="F38" i="8"/>
  <c r="F15" i="8"/>
  <c r="G15" i="8"/>
  <c r="G30" i="8"/>
  <c r="F30" i="8"/>
  <c r="G41" i="8"/>
  <c r="F41" i="8"/>
  <c r="G50" i="8"/>
  <c r="F50" i="8"/>
  <c r="G16" i="8"/>
  <c r="F16" i="8"/>
  <c r="F31" i="8"/>
  <c r="G31" i="8"/>
  <c r="F42" i="8"/>
  <c r="G42" i="8"/>
  <c r="G34" i="8"/>
  <c r="F34" i="8"/>
  <c r="G24" i="8"/>
  <c r="F24" i="8"/>
  <c r="G17" i="8"/>
  <c r="F17" i="8"/>
  <c r="G32" i="8"/>
  <c r="F32" i="8"/>
  <c r="G5" i="8"/>
  <c r="G13" i="8"/>
  <c r="G21" i="8"/>
  <c r="G29" i="8"/>
  <c r="G37" i="8"/>
  <c r="G45" i="8"/>
  <c r="F4" i="8"/>
  <c r="F12" i="8"/>
  <c r="F20" i="8"/>
  <c r="F28" i="8"/>
  <c r="F36" i="8"/>
  <c r="F44" i="8"/>
  <c r="G4" i="8"/>
  <c r="G12" i="8"/>
  <c r="G20" i="8"/>
  <c r="G28" i="8"/>
  <c r="G36" i="8"/>
  <c r="G44" i="8"/>
  <c r="F3" i="8"/>
  <c r="F11" i="8"/>
  <c r="F19" i="8"/>
  <c r="F27" i="8"/>
  <c r="F35" i="8"/>
  <c r="F43" i="8"/>
  <c r="F51" i="8"/>
  <c r="G3" i="8"/>
  <c r="G11" i="8"/>
  <c r="G19" i="8"/>
  <c r="G43" i="8"/>
  <c r="G51" i="8"/>
  <c r="G9" i="7"/>
  <c r="F9" i="7"/>
  <c r="F6" i="7"/>
  <c r="F4" i="7"/>
  <c r="F3" i="7"/>
  <c r="F10" i="7"/>
  <c r="F8" i="7"/>
  <c r="F7" i="7"/>
  <c r="F11" i="7"/>
  <c r="G11" i="7"/>
  <c r="M9" i="16" l="1"/>
  <c r="N9" i="16" s="1"/>
  <c r="O9" i="16" s="1"/>
  <c r="L9" i="16"/>
  <c r="L6" i="16"/>
  <c r="M6" i="16"/>
  <c r="N6" i="16" s="1"/>
  <c r="O6" i="16" s="1"/>
  <c r="L8" i="16"/>
  <c r="L5" i="16"/>
  <c r="L7" i="16"/>
  <c r="M5" i="16"/>
  <c r="N5" i="16" s="1"/>
  <c r="O5" i="16" s="1"/>
  <c r="M8" i="16"/>
  <c r="N8" i="16" s="1"/>
  <c r="O8" i="16" s="1"/>
  <c r="M7" i="16"/>
  <c r="N7" i="16" s="1"/>
  <c r="O7" i="16" s="1"/>
  <c r="M5" i="8" l="1"/>
  <c r="N5" i="8" s="1"/>
  <c r="O5" i="8" s="1"/>
  <c r="M9" i="19"/>
  <c r="N9" i="19" s="1"/>
  <c r="O9" i="19" s="1"/>
  <c r="L9" i="19"/>
  <c r="K9" i="19"/>
  <c r="M8" i="19"/>
  <c r="N8" i="19" s="1"/>
  <c r="O8" i="19" s="1"/>
  <c r="L8" i="19"/>
  <c r="K8" i="19"/>
  <c r="M7" i="19"/>
  <c r="N7" i="19" s="1"/>
  <c r="O7" i="19" s="1"/>
  <c r="L7" i="19"/>
  <c r="K7" i="19"/>
  <c r="M6" i="19"/>
  <c r="N6" i="19" s="1"/>
  <c r="O6" i="19" s="1"/>
  <c r="L6" i="19"/>
  <c r="K6" i="19"/>
  <c r="M5" i="19"/>
  <c r="N5" i="19" s="1"/>
  <c r="O5" i="19" s="1"/>
  <c r="L5" i="19"/>
  <c r="K5" i="19"/>
  <c r="M9" i="18"/>
  <c r="N9" i="18" s="1"/>
  <c r="O9" i="18" s="1"/>
  <c r="L9" i="18"/>
  <c r="K9" i="18"/>
  <c r="M8" i="18"/>
  <c r="N8" i="18" s="1"/>
  <c r="O8" i="18" s="1"/>
  <c r="L8" i="18"/>
  <c r="K8" i="18"/>
  <c r="M7" i="18"/>
  <c r="N7" i="18" s="1"/>
  <c r="O7" i="18" s="1"/>
  <c r="L7" i="18"/>
  <c r="K7" i="18"/>
  <c r="M6" i="18"/>
  <c r="N6" i="18" s="1"/>
  <c r="O6" i="18" s="1"/>
  <c r="L6" i="18"/>
  <c r="K6" i="18"/>
  <c r="M5" i="18"/>
  <c r="N5" i="18" s="1"/>
  <c r="O5" i="18" s="1"/>
  <c r="L5" i="18"/>
  <c r="K5" i="18"/>
  <c r="M9" i="17"/>
  <c r="N9" i="17" s="1"/>
  <c r="O9" i="17" s="1"/>
  <c r="L9" i="17"/>
  <c r="K9" i="17"/>
  <c r="M8" i="17"/>
  <c r="N8" i="17" s="1"/>
  <c r="O8" i="17" s="1"/>
  <c r="L8" i="17"/>
  <c r="K8" i="17"/>
  <c r="M7" i="17"/>
  <c r="N7" i="17" s="1"/>
  <c r="O7" i="17" s="1"/>
  <c r="L7" i="17"/>
  <c r="K7" i="17"/>
  <c r="M6" i="17"/>
  <c r="N6" i="17" s="1"/>
  <c r="O6" i="17" s="1"/>
  <c r="L6" i="17"/>
  <c r="K6" i="17"/>
  <c r="M5" i="17"/>
  <c r="N5" i="17" s="1"/>
  <c r="O5" i="17" s="1"/>
  <c r="L5" i="17"/>
  <c r="K5" i="17"/>
  <c r="M9" i="15"/>
  <c r="N9" i="15" s="1"/>
  <c r="O9" i="15" s="1"/>
  <c r="L9" i="15"/>
  <c r="K9" i="15"/>
  <c r="M8" i="15"/>
  <c r="N8" i="15" s="1"/>
  <c r="O8" i="15" s="1"/>
  <c r="L8" i="15"/>
  <c r="K8" i="15"/>
  <c r="M7" i="15"/>
  <c r="N7" i="15" s="1"/>
  <c r="O7" i="15" s="1"/>
  <c r="L7" i="15"/>
  <c r="K7" i="15"/>
  <c r="M6" i="15"/>
  <c r="N6" i="15" s="1"/>
  <c r="O6" i="15" s="1"/>
  <c r="L6" i="15"/>
  <c r="K6" i="15"/>
  <c r="M5" i="15"/>
  <c r="N5" i="15" s="1"/>
  <c r="O5" i="15" s="1"/>
  <c r="L5" i="15"/>
  <c r="K5" i="15"/>
  <c r="M9" i="14"/>
  <c r="N9" i="14" s="1"/>
  <c r="O9" i="14" s="1"/>
  <c r="L9" i="14"/>
  <c r="K9" i="14"/>
  <c r="M8" i="14"/>
  <c r="N8" i="14" s="1"/>
  <c r="O8" i="14" s="1"/>
  <c r="L8" i="14"/>
  <c r="K8" i="14"/>
  <c r="M7" i="14"/>
  <c r="N7" i="14" s="1"/>
  <c r="O7" i="14" s="1"/>
  <c r="L7" i="14"/>
  <c r="K7" i="14"/>
  <c r="M6" i="14"/>
  <c r="N6" i="14" s="1"/>
  <c r="O6" i="14" s="1"/>
  <c r="L6" i="14"/>
  <c r="K6" i="14"/>
  <c r="M5" i="14"/>
  <c r="N5" i="14" s="1"/>
  <c r="O5" i="14" s="1"/>
  <c r="L5" i="14"/>
  <c r="K5" i="14"/>
  <c r="M9" i="13"/>
  <c r="N9" i="13" s="1"/>
  <c r="O9" i="13" s="1"/>
  <c r="L9" i="13"/>
  <c r="K9" i="13"/>
  <c r="M8" i="13"/>
  <c r="N8" i="13" s="1"/>
  <c r="O8" i="13" s="1"/>
  <c r="L8" i="13"/>
  <c r="K8" i="13"/>
  <c r="M7" i="13"/>
  <c r="N7" i="13" s="1"/>
  <c r="O7" i="13" s="1"/>
  <c r="L7" i="13"/>
  <c r="K7" i="13"/>
  <c r="M6" i="13"/>
  <c r="N6" i="13" s="1"/>
  <c r="O6" i="13" s="1"/>
  <c r="L6" i="13"/>
  <c r="K6" i="13"/>
  <c r="M5" i="13"/>
  <c r="N5" i="13" s="1"/>
  <c r="O5" i="13" s="1"/>
  <c r="L5" i="13"/>
  <c r="K5" i="13"/>
  <c r="M9" i="12"/>
  <c r="N9" i="12" s="1"/>
  <c r="O9" i="12" s="1"/>
  <c r="L9" i="12"/>
  <c r="K9" i="12"/>
  <c r="M8" i="12"/>
  <c r="N8" i="12" s="1"/>
  <c r="O8" i="12" s="1"/>
  <c r="L8" i="12"/>
  <c r="K8" i="12"/>
  <c r="M7" i="12"/>
  <c r="N7" i="12" s="1"/>
  <c r="O7" i="12" s="1"/>
  <c r="L7" i="12"/>
  <c r="K7" i="12"/>
  <c r="M6" i="12"/>
  <c r="N6" i="12" s="1"/>
  <c r="O6" i="12" s="1"/>
  <c r="L6" i="12"/>
  <c r="K6" i="12"/>
  <c r="M5" i="12"/>
  <c r="N5" i="12" s="1"/>
  <c r="O5" i="12" s="1"/>
  <c r="L5" i="12"/>
  <c r="K5" i="12"/>
  <c r="L8" i="8"/>
  <c r="L8" i="9"/>
  <c r="L8" i="10"/>
  <c r="L8" i="11"/>
  <c r="M9" i="11"/>
  <c r="N9" i="11" s="1"/>
  <c r="O9" i="11" s="1"/>
  <c r="L9" i="11"/>
  <c r="K9" i="11"/>
  <c r="M8" i="11"/>
  <c r="N8" i="11" s="1"/>
  <c r="O8" i="11" s="1"/>
  <c r="K8" i="11"/>
  <c r="M7" i="11"/>
  <c r="N7" i="11" s="1"/>
  <c r="O7" i="11" s="1"/>
  <c r="L7" i="11"/>
  <c r="K7" i="11"/>
  <c r="M6" i="11"/>
  <c r="N6" i="11" s="1"/>
  <c r="O6" i="11" s="1"/>
  <c r="L6" i="11"/>
  <c r="K6" i="11"/>
  <c r="M5" i="11"/>
  <c r="N5" i="11" s="1"/>
  <c r="O5" i="11" s="1"/>
  <c r="L5" i="11"/>
  <c r="K5" i="11"/>
  <c r="M9" i="10"/>
  <c r="N9" i="10" s="1"/>
  <c r="O9" i="10" s="1"/>
  <c r="L9" i="10"/>
  <c r="K9" i="10"/>
  <c r="M8" i="10"/>
  <c r="N8" i="10" s="1"/>
  <c r="O8" i="10" s="1"/>
  <c r="K8" i="10"/>
  <c r="M7" i="10"/>
  <c r="N7" i="10" s="1"/>
  <c r="O7" i="10" s="1"/>
  <c r="L7" i="10"/>
  <c r="K7" i="10"/>
  <c r="M6" i="10"/>
  <c r="N6" i="10" s="1"/>
  <c r="O6" i="10" s="1"/>
  <c r="L6" i="10"/>
  <c r="K6" i="10"/>
  <c r="M5" i="10"/>
  <c r="N5" i="10" s="1"/>
  <c r="O5" i="10" s="1"/>
  <c r="L5" i="10"/>
  <c r="K5" i="10"/>
  <c r="K5" i="8"/>
  <c r="K9" i="9"/>
  <c r="K8" i="9"/>
  <c r="K7" i="9"/>
  <c r="K6" i="9"/>
  <c r="K5" i="9"/>
  <c r="K9" i="8"/>
  <c r="K8" i="8"/>
  <c r="K7" i="8"/>
  <c r="K6" i="8"/>
  <c r="L5" i="8"/>
  <c r="L6" i="8"/>
  <c r="M6" i="8"/>
  <c r="N6" i="8" s="1"/>
  <c r="O6" i="8" s="1"/>
  <c r="L7" i="8"/>
  <c r="M7" i="8"/>
  <c r="N7" i="8" s="1"/>
  <c r="O7" i="8" s="1"/>
  <c r="M8" i="8"/>
  <c r="N8" i="8" s="1"/>
  <c r="O8" i="8" s="1"/>
  <c r="L9" i="8"/>
  <c r="M9" i="8"/>
  <c r="N9" i="8" s="1"/>
  <c r="O9" i="8" s="1"/>
  <c r="K8" i="7" l="1"/>
  <c r="K7" i="7"/>
  <c r="K6" i="7"/>
  <c r="K5" i="7"/>
  <c r="K4" i="7"/>
  <c r="F2" i="7"/>
  <c r="G2" i="7"/>
  <c r="M7" i="9"/>
  <c r="N7" i="9" s="1"/>
  <c r="O7" i="9" s="1"/>
  <c r="M5" i="9"/>
  <c r="N5" i="9" s="1"/>
  <c r="O5" i="9" s="1"/>
  <c r="L5" i="9"/>
  <c r="L7" i="7" l="1"/>
  <c r="M8" i="7"/>
  <c r="N8" i="7" s="1"/>
  <c r="O8" i="7" s="1"/>
  <c r="M8" i="9"/>
  <c r="N8" i="9" s="1"/>
  <c r="O8" i="9" s="1"/>
  <c r="L9" i="9"/>
  <c r="M6" i="9"/>
  <c r="N6" i="9" s="1"/>
  <c r="O6" i="9" s="1"/>
  <c r="M9" i="9"/>
  <c r="N9" i="9" s="1"/>
  <c r="O9" i="9" s="1"/>
  <c r="L6" i="9"/>
  <c r="L7" i="9"/>
  <c r="L6" i="7"/>
  <c r="M4" i="7"/>
  <c r="N4" i="7" s="1"/>
  <c r="O4" i="7" s="1"/>
  <c r="M6" i="7"/>
  <c r="N6" i="7" s="1"/>
  <c r="O6" i="7" s="1"/>
  <c r="L4" i="7"/>
  <c r="L8" i="7"/>
  <c r="M7" i="7"/>
  <c r="N7" i="7" s="1"/>
  <c r="O7" i="7" s="1"/>
  <c r="M5" i="7"/>
  <c r="N5" i="7" s="1"/>
  <c r="O5" i="7" s="1"/>
  <c r="L5" i="7"/>
</calcChain>
</file>

<file path=xl/sharedStrings.xml><?xml version="1.0" encoding="utf-8"?>
<sst xmlns="http://schemas.openxmlformats.org/spreadsheetml/2006/main" count="865" uniqueCount="351">
  <si>
    <t>Sampling time</t>
  </si>
  <si>
    <t>T  (°C)</t>
  </si>
  <si>
    <t>pH</t>
  </si>
  <si>
    <t>5.32</t>
  </si>
  <si>
    <t>0.01</t>
  </si>
  <si>
    <t>13.413</t>
  </si>
  <si>
    <t>6.04</t>
  </si>
  <si>
    <t>7.418</t>
  </si>
  <si>
    <t>256.3</t>
  </si>
  <si>
    <t>0.348</t>
  </si>
  <si>
    <t>0.237</t>
  </si>
  <si>
    <t>13.15</t>
  </si>
  <si>
    <t>13.06</t>
  </si>
  <si>
    <t>7.356</t>
  </si>
  <si>
    <t>261.9</t>
  </si>
  <si>
    <t>2.2</t>
  </si>
  <si>
    <t>642.4</t>
  </si>
  <si>
    <t>0.345</t>
  </si>
  <si>
    <t>323.4</t>
  </si>
  <si>
    <t>14.15</t>
  </si>
  <si>
    <t>6.26</t>
  </si>
  <si>
    <t>7.64</t>
  </si>
  <si>
    <t>242.9</t>
  </si>
  <si>
    <t>1.59</t>
  </si>
  <si>
    <t>0.343</t>
  </si>
  <si>
    <t>323.5</t>
  </si>
  <si>
    <t>3.78</t>
  </si>
  <si>
    <t>0.02</t>
  </si>
  <si>
    <t>14.6</t>
  </si>
  <si>
    <t>6.01</t>
  </si>
  <si>
    <t>7.76</t>
  </si>
  <si>
    <t>247.2</t>
  </si>
  <si>
    <t>4.13</t>
  </si>
  <si>
    <t>323.2</t>
  </si>
  <si>
    <t>4.76</t>
  </si>
  <si>
    <t>14.7</t>
  </si>
  <si>
    <t>6.1</t>
  </si>
  <si>
    <t>7.848</t>
  </si>
  <si>
    <t>257.9</t>
  </si>
  <si>
    <t>0.986</t>
  </si>
  <si>
    <t>642.1</t>
  </si>
  <si>
    <t>0.344</t>
  </si>
  <si>
    <t>324.1</t>
  </si>
  <si>
    <t>4.78</t>
  </si>
  <si>
    <t>14.59</t>
  </si>
  <si>
    <t>5.95</t>
  </si>
  <si>
    <t>7.894</t>
  </si>
  <si>
    <t>246.6</t>
  </si>
  <si>
    <t>638.5</t>
  </si>
  <si>
    <t>0.04</t>
  </si>
  <si>
    <t>4.90</t>
  </si>
  <si>
    <t>13.469</t>
  </si>
  <si>
    <t>6.31</t>
  </si>
  <si>
    <t>7.637</t>
  </si>
  <si>
    <t>220.2</t>
  </si>
  <si>
    <t>0.177</t>
  </si>
  <si>
    <t>640.3</t>
  </si>
  <si>
    <t>323.6</t>
  </si>
  <si>
    <t>4.59</t>
  </si>
  <si>
    <t>6.73</t>
  </si>
  <si>
    <t>8.201</t>
  </si>
  <si>
    <t>222.5</t>
  </si>
  <si>
    <t>3.068</t>
  </si>
  <si>
    <t>641.4</t>
  </si>
  <si>
    <t>323.8</t>
  </si>
  <si>
    <t>0.83</t>
  </si>
  <si>
    <t>25.05</t>
  </si>
  <si>
    <t>11.17</t>
  </si>
  <si>
    <t>8.843</t>
  </si>
  <si>
    <t>158.8</t>
  </si>
  <si>
    <t>5.501</t>
  </si>
  <si>
    <t>474.4</t>
  </si>
  <si>
    <t>25.06</t>
  </si>
  <si>
    <t>14.17</t>
  </si>
  <si>
    <t>8.675</t>
  </si>
  <si>
    <t>223.7</t>
  </si>
  <si>
    <t>5.519</t>
  </si>
  <si>
    <t>474.5</t>
  </si>
  <si>
    <t>0.254</t>
  </si>
  <si>
    <t>239.5</t>
  </si>
  <si>
    <t>0.72</t>
  </si>
  <si>
    <t>25.33</t>
  </si>
  <si>
    <t>14.52</t>
  </si>
  <si>
    <t>8.859</t>
  </si>
  <si>
    <t>218.4</t>
  </si>
  <si>
    <t>6.540</t>
  </si>
  <si>
    <t>478.5</t>
  </si>
  <si>
    <t>0.256</t>
  </si>
  <si>
    <t>241.6</t>
  </si>
  <si>
    <t>0.08</t>
  </si>
  <si>
    <t>25.84</t>
  </si>
  <si>
    <t>14.72</t>
  </si>
  <si>
    <t>8.885</t>
  </si>
  <si>
    <t>218.1</t>
  </si>
  <si>
    <t>5.599</t>
  </si>
  <si>
    <t>238.9</t>
  </si>
  <si>
    <t>0.93</t>
  </si>
  <si>
    <t>0.06</t>
  </si>
  <si>
    <t>25.71</t>
  </si>
  <si>
    <t>14.89</t>
  </si>
  <si>
    <t>8.887</t>
  </si>
  <si>
    <t>214.6</t>
  </si>
  <si>
    <t>4.414</t>
  </si>
  <si>
    <t>472.4</t>
  </si>
  <si>
    <t>0.253</t>
  </si>
  <si>
    <t>238.4</t>
  </si>
  <si>
    <t>0.78</t>
  </si>
  <si>
    <t>26.29</t>
  </si>
  <si>
    <t>15.71</t>
  </si>
  <si>
    <t>8.873</t>
  </si>
  <si>
    <t>208.3</t>
  </si>
  <si>
    <t>6.569</t>
  </si>
  <si>
    <t>472.8</t>
  </si>
  <si>
    <t>238.7</t>
  </si>
  <si>
    <t>0.89</t>
  </si>
  <si>
    <t>25.22</t>
  </si>
  <si>
    <t>15.52</t>
  </si>
  <si>
    <t>8.876</t>
  </si>
  <si>
    <t>198.3</t>
  </si>
  <si>
    <t>4.379</t>
  </si>
  <si>
    <t>473.1</t>
  </si>
  <si>
    <t>0.03</t>
  </si>
  <si>
    <t>0.90</t>
  </si>
  <si>
    <t>24.6</t>
  </si>
  <si>
    <t>13.72</t>
  </si>
  <si>
    <t>8.830</t>
  </si>
  <si>
    <t>206.1</t>
  </si>
  <si>
    <t>5.297</t>
  </si>
  <si>
    <t>0.261</t>
  </si>
  <si>
    <t>245.2</t>
  </si>
  <si>
    <t>0.91</t>
  </si>
  <si>
    <t>0.10</t>
  </si>
  <si>
    <t>25.24</t>
  </si>
  <si>
    <t>12.55</t>
  </si>
  <si>
    <t>8.799</t>
  </si>
  <si>
    <t>139.6</t>
  </si>
  <si>
    <t>7.584</t>
  </si>
  <si>
    <t>0.80</t>
  </si>
  <si>
    <t>25.73</t>
  </si>
  <si>
    <t>12.70</t>
  </si>
  <si>
    <t>8.612</t>
  </si>
  <si>
    <t>217.7</t>
  </si>
  <si>
    <t>6.564</t>
  </si>
  <si>
    <t>25.36</t>
  </si>
  <si>
    <t>13.97</t>
  </si>
  <si>
    <t>8.738</t>
  </si>
  <si>
    <t>5.591</t>
  </si>
  <si>
    <t>474.3</t>
  </si>
  <si>
    <t>239.3</t>
  </si>
  <si>
    <t>0.73</t>
  </si>
  <si>
    <t>0.1</t>
  </si>
  <si>
    <t>25.44</t>
  </si>
  <si>
    <t>14.29</t>
  </si>
  <si>
    <t>8.901</t>
  </si>
  <si>
    <t>212.5</t>
  </si>
  <si>
    <t>9.69</t>
  </si>
  <si>
    <t>0.97</t>
  </si>
  <si>
    <t>14.11</t>
  </si>
  <si>
    <t>8.895</t>
  </si>
  <si>
    <t>215.1</t>
  </si>
  <si>
    <t>7.630</t>
  </si>
  <si>
    <t>470.4</t>
  </si>
  <si>
    <t>0.252</t>
  </si>
  <si>
    <t>0.63</t>
  </si>
  <si>
    <t>27.01</t>
  </si>
  <si>
    <t>13.99</t>
  </si>
  <si>
    <t>8.824</t>
  </si>
  <si>
    <t>193.8</t>
  </si>
  <si>
    <t>6.66</t>
  </si>
  <si>
    <t>474.1</t>
  </si>
  <si>
    <t>25.66</t>
  </si>
  <si>
    <t>14.46</t>
  </si>
  <si>
    <t>8.857</t>
  </si>
  <si>
    <t>164.4</t>
  </si>
  <si>
    <t>4.938</t>
  </si>
  <si>
    <t>470.7</t>
  </si>
  <si>
    <t>237.6</t>
  </si>
  <si>
    <t>0.87</t>
  </si>
  <si>
    <t>25.02</t>
  </si>
  <si>
    <t>13.93</t>
  </si>
  <si>
    <t>8.861</t>
  </si>
  <si>
    <t>192.1</t>
  </si>
  <si>
    <t>5.71</t>
  </si>
  <si>
    <t>469.6</t>
  </si>
  <si>
    <t>237.8</t>
  </si>
  <si>
    <t>0.47</t>
  </si>
  <si>
    <t>24.94</t>
  </si>
  <si>
    <t>13.27</t>
  </si>
  <si>
    <t>8.762</t>
  </si>
  <si>
    <t>200.6</t>
  </si>
  <si>
    <t>11.385</t>
  </si>
  <si>
    <t>473.6</t>
  </si>
  <si>
    <t>0.66</t>
  </si>
  <si>
    <t>25.57</t>
  </si>
  <si>
    <t>14.74</t>
  </si>
  <si>
    <t>8.646</t>
  </si>
  <si>
    <t>224.3</t>
  </si>
  <si>
    <t>8.51</t>
  </si>
  <si>
    <t>470.3</t>
  </si>
  <si>
    <t>237.4</t>
  </si>
  <si>
    <t>0.84</t>
  </si>
  <si>
    <t>0.13</t>
  </si>
  <si>
    <t>15.11</t>
  </si>
  <si>
    <t>8.912</t>
  </si>
  <si>
    <t>212.1</t>
  </si>
  <si>
    <t>8.87</t>
  </si>
  <si>
    <t>482.5</t>
  </si>
  <si>
    <t>0.259</t>
  </si>
  <si>
    <t>243.6</t>
  </si>
  <si>
    <t>26.36</t>
  </si>
  <si>
    <t>15.85</t>
  </si>
  <si>
    <t>8.924</t>
  </si>
  <si>
    <t>208.1</t>
  </si>
  <si>
    <t>8.336</t>
  </si>
  <si>
    <t>238.1</t>
  </si>
  <si>
    <t>0.68</t>
  </si>
  <si>
    <t>25.99</t>
  </si>
  <si>
    <t>14.87</t>
  </si>
  <si>
    <t>8.916</t>
  </si>
  <si>
    <t>7.642</t>
  </si>
  <si>
    <t>467.4</t>
  </si>
  <si>
    <t>0.251</t>
  </si>
  <si>
    <t>235.9</t>
  </si>
  <si>
    <t>26.03</t>
  </si>
  <si>
    <t>16.13</t>
  </si>
  <si>
    <t>209.9</t>
  </si>
  <si>
    <t>5.159</t>
  </si>
  <si>
    <t>474.8</t>
  </si>
  <si>
    <t>239.6</t>
  </si>
  <si>
    <t>0.38</t>
  </si>
  <si>
    <t>16.50</t>
  </si>
  <si>
    <t>8.898</t>
  </si>
  <si>
    <t>168.5</t>
  </si>
  <si>
    <t>12.117</t>
  </si>
  <si>
    <t>237.5</t>
  </si>
  <si>
    <t>0.69</t>
  </si>
  <si>
    <t>24.73</t>
  </si>
  <si>
    <t>14.54</t>
  </si>
  <si>
    <t>8.877</t>
  </si>
  <si>
    <t>200.9</t>
  </si>
  <si>
    <t>9.170</t>
  </si>
  <si>
    <t>472.9</t>
  </si>
  <si>
    <t>24.89</t>
  </si>
  <si>
    <t>12.44</t>
  </si>
  <si>
    <t>8.401</t>
  </si>
  <si>
    <t>4.588</t>
  </si>
  <si>
    <t>479.9</t>
  </si>
  <si>
    <t>0.257</t>
  </si>
  <si>
    <t>242.2</t>
  </si>
  <si>
    <t>0.92</t>
  </si>
  <si>
    <t>24.84</t>
  </si>
  <si>
    <t>15.03</t>
  </si>
  <si>
    <t>8.404</t>
  </si>
  <si>
    <t>244.4</t>
  </si>
  <si>
    <t>479.0</t>
  </si>
  <si>
    <t>241.8</t>
  </si>
  <si>
    <t>24.5</t>
  </si>
  <si>
    <t>14.86</t>
  </si>
  <si>
    <t>8.825</t>
  </si>
  <si>
    <t>223.3</t>
  </si>
  <si>
    <t>4.300</t>
  </si>
  <si>
    <t>479.6</t>
  </si>
  <si>
    <t>241.9</t>
  </si>
  <si>
    <t>0.79</t>
  </si>
  <si>
    <t>25.13</t>
  </si>
  <si>
    <t>4.957</t>
  </si>
  <si>
    <t>480.1</t>
  </si>
  <si>
    <t>242.4</t>
  </si>
  <si>
    <t>25.61</t>
  </si>
  <si>
    <t>15.91</t>
  </si>
  <si>
    <t>8.837</t>
  </si>
  <si>
    <t>5.151</t>
  </si>
  <si>
    <t>480.4</t>
  </si>
  <si>
    <t>0.258</t>
  </si>
  <si>
    <t>252.5</t>
  </si>
  <si>
    <t>0.67</t>
  </si>
  <si>
    <t>26.26</t>
  </si>
  <si>
    <t>15.3</t>
  </si>
  <si>
    <t>8.849</t>
  </si>
  <si>
    <t>203.2</t>
  </si>
  <si>
    <t>4.316</t>
  </si>
  <si>
    <t>480.7</t>
  </si>
  <si>
    <t>242.6</t>
  </si>
  <si>
    <t>0.42</t>
  </si>
  <si>
    <t>0.07</t>
  </si>
  <si>
    <t>25.18</t>
  </si>
  <si>
    <t>13.11</t>
  </si>
  <si>
    <t>203.9</t>
  </si>
  <si>
    <t>479.2</t>
  </si>
  <si>
    <t>0.05</t>
  </si>
  <si>
    <t>24.57</t>
  </si>
  <si>
    <t>13.86</t>
  </si>
  <si>
    <t>8.588</t>
  </si>
  <si>
    <t>189.7</t>
  </si>
  <si>
    <t>4.145</t>
  </si>
  <si>
    <t>481.2</t>
  </si>
  <si>
    <t>242.7</t>
  </si>
  <si>
    <t>inlet</t>
  </si>
  <si>
    <t xml:space="preserve"> NH4-N</t>
  </si>
  <si>
    <t>NO2-N</t>
  </si>
  <si>
    <t xml:space="preserve"> NO3-N</t>
  </si>
  <si>
    <t xml:space="preserve">TP </t>
  </si>
  <si>
    <t xml:space="preserve">DO </t>
  </si>
  <si>
    <t xml:space="preserve">Turbidity </t>
  </si>
  <si>
    <t xml:space="preserve">ORP </t>
  </si>
  <si>
    <t xml:space="preserve">EC </t>
  </si>
  <si>
    <t xml:space="preserve">Salinity </t>
  </si>
  <si>
    <t xml:space="preserve">TDS </t>
  </si>
  <si>
    <t>Inlet</t>
  </si>
  <si>
    <t>Ramp</t>
  </si>
  <si>
    <t>Outlet</t>
  </si>
  <si>
    <t>Sites</t>
  </si>
  <si>
    <t>9 post1</t>
  </si>
  <si>
    <t>9 post2</t>
  </si>
  <si>
    <t>measured T  (°C)</t>
  </si>
  <si>
    <t>Error</t>
  </si>
  <si>
    <t>|Error|</t>
  </si>
  <si>
    <r>
      <t>Error</t>
    </r>
    <r>
      <rPr>
        <vertAlign val="superscript"/>
        <sz val="12"/>
        <color theme="1"/>
        <rFont val="Arial"/>
        <family val="2"/>
      </rPr>
      <t>2</t>
    </r>
  </si>
  <si>
    <t>Predicted  T  (°C)</t>
  </si>
  <si>
    <t>MSE</t>
  </si>
  <si>
    <t>RMSE</t>
  </si>
  <si>
    <t>Predicted  DO</t>
  </si>
  <si>
    <t>Predicted  pH</t>
  </si>
  <si>
    <t>Predicted  ORP</t>
  </si>
  <si>
    <t xml:space="preserve">Predicted  Turbidity </t>
  </si>
  <si>
    <t>Predicted  EC</t>
  </si>
  <si>
    <t xml:space="preserve">Predicted  Salinity </t>
  </si>
  <si>
    <t>Predicted  TDS</t>
  </si>
  <si>
    <t>Predicted   NH4-N</t>
  </si>
  <si>
    <t>Predicted  NO2-N</t>
  </si>
  <si>
    <t>Predicted  OP</t>
  </si>
  <si>
    <t>OP</t>
  </si>
  <si>
    <t>Predicted  TP</t>
  </si>
  <si>
    <t xml:space="preserve"> NH4</t>
  </si>
  <si>
    <t>Predicted  NO3-N</t>
  </si>
  <si>
    <t xml:space="preserve">Site </t>
  </si>
  <si>
    <t>DO</t>
  </si>
  <si>
    <t>Temperature</t>
  </si>
  <si>
    <t>ORP</t>
  </si>
  <si>
    <t>Turbidity</t>
  </si>
  <si>
    <t>Conductivity</t>
  </si>
  <si>
    <t>Salinity</t>
  </si>
  <si>
    <t>TDS</t>
  </si>
  <si>
    <t>NH4-N</t>
  </si>
  <si>
    <t>NO3-N</t>
  </si>
  <si>
    <t>TP</t>
  </si>
  <si>
    <t>MAE</t>
  </si>
  <si>
    <t>MBE</t>
  </si>
  <si>
    <t>NRMSE</t>
  </si>
  <si>
    <t>Site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</si>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</sst>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242424"/>
      <name val="Arial"/>
      <family val="2"/>
    </font>
    <font>
      <vertAlign val="superscript"/>
      <sz val="12"/>
      <color theme="1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DAC5-96B2-4A69-A76A-B3908B713B8A}">
  <dimension ref="A1:T51"/>
  <sheetViews>
    <sheetView workbookViewId="0">
      <pane ySplit="1" topLeftCell="A31" activePane="bottomLeft" state="frozen"/>
      <selection pane="bottomLeft" sqref="A1:XFD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4" width="9.33203125" style="1" bestFit="1" customWidth="1"/>
    <col min="5" max="6" width="8.88671875" style="1"/>
    <col min="7" max="7" width="13" style="1" bestFit="1" customWidth="1"/>
    <col min="8" max="8" width="9.6640625" style="1" bestFit="1" customWidth="1"/>
    <col min="9" max="9" width="12" style="1" bestFit="1" customWidth="1"/>
    <col min="10" max="10" width="9" style="1" bestFit="1" customWidth="1"/>
    <col min="11" max="14" width="9.44140625" style="1" customWidth="1"/>
    <col min="15" max="15" width="9.44140625" style="1" bestFit="1" customWidth="1"/>
    <col min="16" max="17" width="8.88671875" style="1"/>
    <col min="18" max="18" width="7.44140625" style="1" bestFit="1" customWidth="1"/>
    <col min="19" max="20" width="10.44140625" style="1" bestFit="1" customWidth="1"/>
    <col min="21" max="16384" width="8.88671875" style="1"/>
  </cols>
  <sheetData>
    <row r="1" spans="1:20" ht="31.8" customHeight="1" x14ac:dyDescent="0.3">
      <c r="A1" s="2" t="s">
        <v>311</v>
      </c>
      <c r="B1" s="11" t="s">
        <v>0</v>
      </c>
      <c r="C1" s="2" t="s">
        <v>1</v>
      </c>
      <c r="D1" s="2" t="s">
        <v>302</v>
      </c>
      <c r="E1" s="2" t="s">
        <v>2</v>
      </c>
      <c r="F1" s="2" t="s">
        <v>304</v>
      </c>
      <c r="G1" s="2" t="s">
        <v>303</v>
      </c>
      <c r="H1" s="2" t="s">
        <v>305</v>
      </c>
      <c r="I1" s="2" t="s">
        <v>306</v>
      </c>
      <c r="J1" s="2" t="s">
        <v>307</v>
      </c>
      <c r="K1" s="2" t="s">
        <v>333</v>
      </c>
      <c r="L1" s="2" t="s">
        <v>299</v>
      </c>
      <c r="M1" s="2" t="s">
        <v>300</v>
      </c>
      <c r="N1" s="2" t="s">
        <v>331</v>
      </c>
      <c r="O1" s="2" t="s">
        <v>301</v>
      </c>
    </row>
    <row r="2" spans="1:20" x14ac:dyDescent="0.3">
      <c r="A2" s="21" t="s">
        <v>308</v>
      </c>
      <c r="B2" s="3">
        <v>8</v>
      </c>
      <c r="C2" s="2" t="s">
        <v>5</v>
      </c>
      <c r="D2" s="5" t="s">
        <v>6</v>
      </c>
      <c r="E2" s="2" t="s">
        <v>7</v>
      </c>
      <c r="F2" s="2" t="s">
        <v>8</v>
      </c>
      <c r="G2" s="2" t="s">
        <v>9</v>
      </c>
      <c r="H2" s="2">
        <v>636</v>
      </c>
      <c r="I2" s="2" t="s">
        <v>10</v>
      </c>
      <c r="J2" s="6">
        <v>317</v>
      </c>
      <c r="K2" s="2">
        <v>0</v>
      </c>
      <c r="L2" s="2">
        <v>0</v>
      </c>
      <c r="M2" s="2" t="s">
        <v>3</v>
      </c>
      <c r="N2" s="2" t="s">
        <v>4</v>
      </c>
      <c r="O2" s="2">
        <v>0</v>
      </c>
    </row>
    <row r="3" spans="1:20" x14ac:dyDescent="0.3">
      <c r="A3" s="22"/>
      <c r="B3" s="3">
        <v>9</v>
      </c>
      <c r="C3" s="2" t="s">
        <v>11</v>
      </c>
      <c r="D3" s="5" t="s">
        <v>12</v>
      </c>
      <c r="E3" s="2" t="s">
        <v>13</v>
      </c>
      <c r="F3" s="2" t="s">
        <v>14</v>
      </c>
      <c r="G3" s="5" t="s">
        <v>15</v>
      </c>
      <c r="H3" s="2" t="s">
        <v>16</v>
      </c>
      <c r="I3" s="2" t="s">
        <v>17</v>
      </c>
      <c r="J3" s="2" t="s">
        <v>18</v>
      </c>
      <c r="K3" s="2">
        <v>0</v>
      </c>
      <c r="L3" s="2">
        <v>0</v>
      </c>
      <c r="M3" s="2">
        <v>5.2</v>
      </c>
      <c r="N3" s="2">
        <v>0</v>
      </c>
      <c r="O3" s="2">
        <v>0</v>
      </c>
    </row>
    <row r="4" spans="1:20" x14ac:dyDescent="0.3">
      <c r="A4" s="22"/>
      <c r="B4" s="3">
        <v>10</v>
      </c>
      <c r="C4" s="2" t="s">
        <v>19</v>
      </c>
      <c r="D4" s="5" t="s">
        <v>20</v>
      </c>
      <c r="E4" s="2" t="s">
        <v>21</v>
      </c>
      <c r="F4" s="2" t="s">
        <v>22</v>
      </c>
      <c r="G4" s="2" t="s">
        <v>23</v>
      </c>
      <c r="H4" s="2">
        <v>640</v>
      </c>
      <c r="I4" s="2" t="s">
        <v>24</v>
      </c>
      <c r="J4" s="2" t="s">
        <v>25</v>
      </c>
      <c r="K4" s="2">
        <v>0</v>
      </c>
      <c r="L4" s="2" t="s">
        <v>4</v>
      </c>
      <c r="M4" s="2">
        <v>5.46</v>
      </c>
      <c r="N4" s="2">
        <v>0</v>
      </c>
      <c r="O4" s="2">
        <v>0</v>
      </c>
      <c r="T4" s="19"/>
    </row>
    <row r="5" spans="1:20" ht="21" customHeight="1" x14ac:dyDescent="0.3">
      <c r="A5" s="22"/>
      <c r="B5" s="3">
        <v>11</v>
      </c>
      <c r="C5" s="5" t="s">
        <v>28</v>
      </c>
      <c r="D5" s="5" t="s">
        <v>29</v>
      </c>
      <c r="E5" s="2" t="s">
        <v>30</v>
      </c>
      <c r="F5" s="2" t="s">
        <v>31</v>
      </c>
      <c r="G5" s="5" t="s">
        <v>32</v>
      </c>
      <c r="H5" s="2">
        <v>639</v>
      </c>
      <c r="I5" s="2" t="s">
        <v>24</v>
      </c>
      <c r="J5" s="2" t="s">
        <v>33</v>
      </c>
      <c r="K5" s="2">
        <v>0</v>
      </c>
      <c r="L5" s="2">
        <v>0</v>
      </c>
      <c r="M5" s="2" t="s">
        <v>26</v>
      </c>
      <c r="N5" s="2" t="s">
        <v>4</v>
      </c>
      <c r="O5" s="2" t="s">
        <v>27</v>
      </c>
      <c r="S5" s="20"/>
      <c r="T5" s="19"/>
    </row>
    <row r="6" spans="1:20" x14ac:dyDescent="0.3">
      <c r="A6" s="22"/>
      <c r="B6" s="3">
        <v>12</v>
      </c>
      <c r="C6" s="5" t="s">
        <v>35</v>
      </c>
      <c r="D6" s="5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  <c r="K6" s="2">
        <v>0</v>
      </c>
      <c r="L6" s="2">
        <v>0</v>
      </c>
      <c r="M6" s="2" t="s">
        <v>34</v>
      </c>
      <c r="N6" s="2">
        <v>0</v>
      </c>
      <c r="O6" s="2">
        <v>0</v>
      </c>
      <c r="T6" s="19"/>
    </row>
    <row r="7" spans="1:20" x14ac:dyDescent="0.3">
      <c r="A7" s="22"/>
      <c r="B7" s="3">
        <v>16</v>
      </c>
      <c r="C7" s="2" t="s">
        <v>44</v>
      </c>
      <c r="D7" s="2" t="s">
        <v>45</v>
      </c>
      <c r="E7" s="2" t="s">
        <v>46</v>
      </c>
      <c r="F7" s="2" t="s">
        <v>47</v>
      </c>
      <c r="G7" s="2">
        <v>0</v>
      </c>
      <c r="H7" s="2" t="s">
        <v>48</v>
      </c>
      <c r="I7" s="2" t="s">
        <v>24</v>
      </c>
      <c r="J7" s="2" t="s">
        <v>33</v>
      </c>
      <c r="K7" s="2">
        <v>0</v>
      </c>
      <c r="L7" s="2">
        <v>0</v>
      </c>
      <c r="M7" s="2" t="s">
        <v>43</v>
      </c>
      <c r="N7" s="2">
        <v>0</v>
      </c>
      <c r="O7" s="2">
        <v>0</v>
      </c>
      <c r="T7" s="19"/>
    </row>
    <row r="8" spans="1:20" x14ac:dyDescent="0.3">
      <c r="A8" s="22"/>
      <c r="B8" s="3">
        <v>20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41</v>
      </c>
      <c r="J8" s="2" t="s">
        <v>57</v>
      </c>
      <c r="K8" s="2" t="s">
        <v>49</v>
      </c>
      <c r="L8" s="2">
        <v>0</v>
      </c>
      <c r="M8" s="2" t="s">
        <v>50</v>
      </c>
      <c r="N8" s="2">
        <v>0</v>
      </c>
      <c r="O8" s="2">
        <v>0</v>
      </c>
    </row>
    <row r="9" spans="1:20" x14ac:dyDescent="0.3">
      <c r="A9" s="22"/>
      <c r="B9" s="3">
        <v>0</v>
      </c>
      <c r="C9" s="5" t="s">
        <v>35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41</v>
      </c>
      <c r="J9" s="2" t="s">
        <v>64</v>
      </c>
      <c r="K9" s="2">
        <v>0</v>
      </c>
      <c r="L9" s="2">
        <v>0</v>
      </c>
      <c r="M9" s="2" t="s">
        <v>58</v>
      </c>
      <c r="N9" s="2" t="s">
        <v>4</v>
      </c>
      <c r="O9" s="2">
        <v>0</v>
      </c>
    </row>
    <row r="10" spans="1:20" x14ac:dyDescent="0.3">
      <c r="A10" s="22"/>
      <c r="B10" s="3" t="s">
        <v>312</v>
      </c>
      <c r="C10" s="7">
        <v>13</v>
      </c>
      <c r="D10" s="7">
        <v>6.3</v>
      </c>
      <c r="E10" s="7">
        <v>7.5</v>
      </c>
      <c r="F10" s="6">
        <v>236.6</v>
      </c>
      <c r="G10" s="7">
        <v>0.6</v>
      </c>
      <c r="H10" s="6">
        <v>637.79999999999995</v>
      </c>
      <c r="I10" s="7">
        <v>0.34</v>
      </c>
      <c r="J10" s="6">
        <v>323</v>
      </c>
      <c r="K10" s="3">
        <v>0.09</v>
      </c>
      <c r="L10" s="3">
        <v>0</v>
      </c>
      <c r="M10" s="3">
        <v>0</v>
      </c>
      <c r="N10" s="3">
        <v>0</v>
      </c>
      <c r="O10" s="3">
        <v>0</v>
      </c>
    </row>
    <row r="11" spans="1:20" x14ac:dyDescent="0.3">
      <c r="A11" s="23"/>
      <c r="B11" s="3" t="s">
        <v>313</v>
      </c>
      <c r="C11" s="7">
        <v>13.9</v>
      </c>
      <c r="D11" s="7">
        <v>6.5</v>
      </c>
      <c r="E11" s="7">
        <v>7.7190000000000003</v>
      </c>
      <c r="F11" s="6">
        <v>244.3</v>
      </c>
      <c r="G11" s="7">
        <v>3.7</v>
      </c>
      <c r="H11" s="6">
        <v>621.4</v>
      </c>
      <c r="I11" s="7">
        <v>0.33300000000000002</v>
      </c>
      <c r="J11" s="6">
        <v>323.10000000000002</v>
      </c>
      <c r="K11" s="3">
        <v>0.04</v>
      </c>
      <c r="L11" s="3">
        <v>0</v>
      </c>
      <c r="M11" s="3">
        <v>0</v>
      </c>
      <c r="N11" s="3">
        <v>0</v>
      </c>
      <c r="O11" s="3">
        <v>0</v>
      </c>
    </row>
    <row r="12" spans="1:20" x14ac:dyDescent="0.3">
      <c r="A12" s="21">
        <v>33</v>
      </c>
      <c r="B12" s="3">
        <v>8</v>
      </c>
      <c r="C12" s="5" t="s">
        <v>66</v>
      </c>
      <c r="D12" s="5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/>
      <c r="J12" s="2"/>
      <c r="K12" s="2" t="s">
        <v>4</v>
      </c>
      <c r="L12" s="2">
        <v>0</v>
      </c>
      <c r="M12" s="2" t="s">
        <v>65</v>
      </c>
      <c r="N12" s="2">
        <v>0</v>
      </c>
      <c r="O12" s="2">
        <v>0</v>
      </c>
    </row>
    <row r="13" spans="1:20" x14ac:dyDescent="0.3">
      <c r="A13" s="22"/>
      <c r="B13" s="3">
        <v>9</v>
      </c>
      <c r="C13" s="5" t="s">
        <v>72</v>
      </c>
      <c r="D13" s="5" t="s">
        <v>73</v>
      </c>
      <c r="E13" s="2" t="s">
        <v>74</v>
      </c>
      <c r="F13" s="2" t="s">
        <v>75</v>
      </c>
      <c r="G13" s="2" t="s">
        <v>76</v>
      </c>
      <c r="H13" s="2" t="s">
        <v>77</v>
      </c>
      <c r="I13" s="2" t="s">
        <v>78</v>
      </c>
      <c r="J13" s="2" t="s">
        <v>79</v>
      </c>
      <c r="K13" s="2" t="s">
        <v>49</v>
      </c>
      <c r="L13" s="2">
        <v>0</v>
      </c>
      <c r="M13" s="2">
        <v>1.07</v>
      </c>
      <c r="N13" s="2">
        <v>0</v>
      </c>
      <c r="O13" s="2">
        <v>0</v>
      </c>
    </row>
    <row r="14" spans="1:20" x14ac:dyDescent="0.3">
      <c r="A14" s="22"/>
      <c r="B14" s="3">
        <v>10</v>
      </c>
      <c r="C14" s="5" t="s">
        <v>81</v>
      </c>
      <c r="D14" s="5" t="s">
        <v>82</v>
      </c>
      <c r="E14" s="2" t="s">
        <v>83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  <c r="K14" s="2" t="s">
        <v>4</v>
      </c>
      <c r="L14" s="2">
        <v>0</v>
      </c>
      <c r="M14" s="2" t="s">
        <v>80</v>
      </c>
      <c r="N14" s="2" t="s">
        <v>4</v>
      </c>
      <c r="O14" s="2" t="s">
        <v>27</v>
      </c>
    </row>
    <row r="15" spans="1:20" x14ac:dyDescent="0.3">
      <c r="A15" s="22"/>
      <c r="B15" s="3">
        <v>11</v>
      </c>
      <c r="C15" s="5" t="s">
        <v>90</v>
      </c>
      <c r="D15" s="5" t="s">
        <v>91</v>
      </c>
      <c r="E15" s="2" t="s">
        <v>92</v>
      </c>
      <c r="F15" s="2" t="s">
        <v>93</v>
      </c>
      <c r="G15" s="2" t="s">
        <v>94</v>
      </c>
      <c r="H15" s="2">
        <v>473</v>
      </c>
      <c r="I15" s="2" t="s">
        <v>78</v>
      </c>
      <c r="J15" s="2" t="s">
        <v>95</v>
      </c>
      <c r="K15" s="2">
        <v>0</v>
      </c>
      <c r="L15" s="2" t="s">
        <v>4</v>
      </c>
      <c r="M15" s="2" t="s">
        <v>65</v>
      </c>
      <c r="N15" s="2" t="s">
        <v>4</v>
      </c>
      <c r="O15" s="2" t="s">
        <v>89</v>
      </c>
    </row>
    <row r="16" spans="1:20" x14ac:dyDescent="0.3">
      <c r="A16" s="22"/>
      <c r="B16" s="3">
        <v>12</v>
      </c>
      <c r="C16" s="5" t="s">
        <v>98</v>
      </c>
      <c r="D16" s="5" t="s">
        <v>99</v>
      </c>
      <c r="E16" s="2" t="s">
        <v>100</v>
      </c>
      <c r="F16" s="2" t="s">
        <v>101</v>
      </c>
      <c r="G16" s="2" t="s">
        <v>102</v>
      </c>
      <c r="H16" s="2" t="s">
        <v>103</v>
      </c>
      <c r="I16" s="2" t="s">
        <v>104</v>
      </c>
      <c r="J16" s="2" t="s">
        <v>105</v>
      </c>
      <c r="K16" s="2" t="s">
        <v>4</v>
      </c>
      <c r="L16" s="2" t="s">
        <v>4</v>
      </c>
      <c r="M16" s="2" t="s">
        <v>96</v>
      </c>
      <c r="N16" s="2" t="s">
        <v>4</v>
      </c>
      <c r="O16" s="2" t="s">
        <v>97</v>
      </c>
    </row>
    <row r="17" spans="1:15" x14ac:dyDescent="0.3">
      <c r="A17" s="22"/>
      <c r="B17" s="3">
        <v>16</v>
      </c>
      <c r="C17" s="5" t="s">
        <v>107</v>
      </c>
      <c r="D17" s="5" t="s">
        <v>108</v>
      </c>
      <c r="E17" s="2" t="s">
        <v>109</v>
      </c>
      <c r="F17" s="2" t="s">
        <v>110</v>
      </c>
      <c r="G17" s="2" t="s">
        <v>111</v>
      </c>
      <c r="H17" s="2" t="s">
        <v>112</v>
      </c>
      <c r="I17" s="2" t="s">
        <v>104</v>
      </c>
      <c r="J17" s="2" t="s">
        <v>113</v>
      </c>
      <c r="K17" s="2" t="s">
        <v>27</v>
      </c>
      <c r="L17" s="2" t="s">
        <v>4</v>
      </c>
      <c r="M17" s="2" t="s">
        <v>106</v>
      </c>
      <c r="N17" s="2">
        <v>0</v>
      </c>
      <c r="O17" s="2">
        <v>0</v>
      </c>
    </row>
    <row r="18" spans="1:15" x14ac:dyDescent="0.3">
      <c r="A18" s="22"/>
      <c r="B18" s="3">
        <v>20</v>
      </c>
      <c r="C18" s="5" t="s">
        <v>115</v>
      </c>
      <c r="D18" s="5" t="s">
        <v>116</v>
      </c>
      <c r="E18" s="2" t="s">
        <v>117</v>
      </c>
      <c r="F18" s="2" t="s">
        <v>118</v>
      </c>
      <c r="G18" s="2" t="s">
        <v>119</v>
      </c>
      <c r="H18" s="2" t="s">
        <v>120</v>
      </c>
      <c r="I18" s="2" t="s">
        <v>104</v>
      </c>
      <c r="J18" s="2" t="s">
        <v>105</v>
      </c>
      <c r="K18" s="2" t="s">
        <v>4</v>
      </c>
      <c r="L18" s="2" t="s">
        <v>27</v>
      </c>
      <c r="M18" s="2" t="s">
        <v>114</v>
      </c>
      <c r="N18" s="2">
        <v>0</v>
      </c>
      <c r="O18" s="2">
        <v>0</v>
      </c>
    </row>
    <row r="19" spans="1:15" x14ac:dyDescent="0.3">
      <c r="A19" s="22"/>
      <c r="B19" s="3">
        <v>0</v>
      </c>
      <c r="C19" s="5" t="s">
        <v>123</v>
      </c>
      <c r="D19" s="5" t="s">
        <v>124</v>
      </c>
      <c r="E19" s="2" t="s">
        <v>125</v>
      </c>
      <c r="F19" s="2" t="s">
        <v>126</v>
      </c>
      <c r="G19" s="2" t="s">
        <v>127</v>
      </c>
      <c r="H19" s="2">
        <v>486</v>
      </c>
      <c r="I19" s="2" t="s">
        <v>128</v>
      </c>
      <c r="J19" s="2" t="s">
        <v>129</v>
      </c>
      <c r="K19" s="2" t="s">
        <v>121</v>
      </c>
      <c r="L19" s="2" t="s">
        <v>4</v>
      </c>
      <c r="M19" s="2" t="s">
        <v>122</v>
      </c>
      <c r="N19" s="2">
        <v>0</v>
      </c>
      <c r="O19" s="2">
        <v>0</v>
      </c>
    </row>
    <row r="20" spans="1:15" x14ac:dyDescent="0.3">
      <c r="A20" s="22"/>
      <c r="B20" s="3" t="s">
        <v>312</v>
      </c>
      <c r="C20" s="7">
        <v>24.7</v>
      </c>
      <c r="D20" s="7">
        <v>13.05</v>
      </c>
      <c r="E20" s="7">
        <v>8.7989999999999995</v>
      </c>
      <c r="F20" s="6">
        <v>205.7</v>
      </c>
      <c r="G20" s="7">
        <v>8.2899999999999991</v>
      </c>
      <c r="H20" s="6">
        <v>479.2</v>
      </c>
      <c r="I20" s="7">
        <v>0.25600000000000001</v>
      </c>
      <c r="J20" s="6">
        <v>241.3</v>
      </c>
      <c r="K20" s="3">
        <v>0.04</v>
      </c>
      <c r="L20" s="3">
        <v>0.02</v>
      </c>
      <c r="M20" s="3">
        <v>0</v>
      </c>
      <c r="N20" s="3">
        <v>0</v>
      </c>
      <c r="O20" s="3">
        <v>0</v>
      </c>
    </row>
    <row r="21" spans="1:15" x14ac:dyDescent="0.3">
      <c r="A21" s="23"/>
      <c r="B21" s="3" t="s">
        <v>313</v>
      </c>
      <c r="C21" s="7">
        <v>23.57</v>
      </c>
      <c r="D21" s="7">
        <v>10.99</v>
      </c>
      <c r="E21" s="7">
        <v>8.7639999999999993</v>
      </c>
      <c r="F21" s="6">
        <v>198.1</v>
      </c>
      <c r="G21" s="7">
        <v>15.5</v>
      </c>
      <c r="H21" s="6">
        <v>479.5</v>
      </c>
      <c r="I21" s="7">
        <v>0.25700000000000001</v>
      </c>
      <c r="J21" s="6">
        <v>242</v>
      </c>
      <c r="K21" s="3">
        <v>0.53</v>
      </c>
      <c r="L21" s="3">
        <v>0.02</v>
      </c>
      <c r="M21" s="3">
        <v>0</v>
      </c>
      <c r="N21" s="3">
        <v>0</v>
      </c>
      <c r="O21" s="3">
        <v>0</v>
      </c>
    </row>
    <row r="22" spans="1:15" x14ac:dyDescent="0.3">
      <c r="A22" s="21">
        <v>46</v>
      </c>
      <c r="B22" s="3">
        <v>8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136</v>
      </c>
      <c r="H22" s="2" t="s">
        <v>77</v>
      </c>
      <c r="I22" s="2"/>
      <c r="J22" s="2"/>
      <c r="K22" s="2" t="s">
        <v>4</v>
      </c>
      <c r="L22" s="2" t="s">
        <v>4</v>
      </c>
      <c r="M22" s="2" t="s">
        <v>130</v>
      </c>
      <c r="N22" s="2" t="s">
        <v>4</v>
      </c>
      <c r="O22" s="2" t="s">
        <v>131</v>
      </c>
    </row>
    <row r="23" spans="1:15" x14ac:dyDescent="0.3">
      <c r="A23" s="22"/>
      <c r="B23" s="3">
        <v>9</v>
      </c>
      <c r="C23" s="2" t="s">
        <v>138</v>
      </c>
      <c r="D23" s="2" t="s">
        <v>139</v>
      </c>
      <c r="E23" s="2" t="s">
        <v>140</v>
      </c>
      <c r="F23" s="2" t="s">
        <v>141</v>
      </c>
      <c r="G23" s="2" t="s">
        <v>142</v>
      </c>
      <c r="H23" s="2" t="s">
        <v>112</v>
      </c>
      <c r="I23" s="2" t="s">
        <v>104</v>
      </c>
      <c r="J23" s="2" t="s">
        <v>113</v>
      </c>
      <c r="K23" s="2" t="s">
        <v>27</v>
      </c>
      <c r="L23" s="2">
        <v>0</v>
      </c>
      <c r="M23" s="2" t="s">
        <v>137</v>
      </c>
      <c r="N23" s="2" t="s">
        <v>4</v>
      </c>
      <c r="O23" s="2">
        <v>0</v>
      </c>
    </row>
    <row r="24" spans="1:15" x14ac:dyDescent="0.3">
      <c r="A24" s="22"/>
      <c r="B24" s="3">
        <v>10</v>
      </c>
      <c r="C24" s="2" t="s">
        <v>143</v>
      </c>
      <c r="D24" s="2" t="s">
        <v>144</v>
      </c>
      <c r="E24" s="2" t="s">
        <v>145</v>
      </c>
      <c r="F24" s="2" t="s">
        <v>75</v>
      </c>
      <c r="G24" s="2" t="s">
        <v>146</v>
      </c>
      <c r="H24" s="2" t="s">
        <v>147</v>
      </c>
      <c r="I24" s="2" t="s">
        <v>78</v>
      </c>
      <c r="J24" s="2" t="s">
        <v>148</v>
      </c>
      <c r="K24" s="2" t="s">
        <v>121</v>
      </c>
      <c r="L24" s="2">
        <v>0</v>
      </c>
      <c r="M24" s="2">
        <v>1</v>
      </c>
      <c r="N24" s="2">
        <v>0</v>
      </c>
      <c r="O24" s="2">
        <v>0</v>
      </c>
    </row>
    <row r="25" spans="1:15" x14ac:dyDescent="0.3">
      <c r="A25" s="22"/>
      <c r="B25" s="3">
        <v>11</v>
      </c>
      <c r="C25" s="2" t="s">
        <v>151</v>
      </c>
      <c r="D25" s="2" t="s">
        <v>152</v>
      </c>
      <c r="E25" s="2" t="s">
        <v>153</v>
      </c>
      <c r="F25" s="2" t="s">
        <v>154</v>
      </c>
      <c r="G25" s="2" t="s">
        <v>155</v>
      </c>
      <c r="H25" s="2">
        <v>474</v>
      </c>
      <c r="I25" s="2" t="s">
        <v>78</v>
      </c>
      <c r="J25" s="2">
        <v>239</v>
      </c>
      <c r="K25" s="2" t="s">
        <v>121</v>
      </c>
      <c r="L25" s="2">
        <v>0</v>
      </c>
      <c r="M25" s="2" t="s">
        <v>149</v>
      </c>
      <c r="N25" s="2" t="s">
        <v>4</v>
      </c>
      <c r="O25" s="2" t="s">
        <v>150</v>
      </c>
    </row>
    <row r="26" spans="1:15" x14ac:dyDescent="0.3">
      <c r="A26" s="22"/>
      <c r="B26" s="3">
        <v>12</v>
      </c>
      <c r="C26" s="2" t="s">
        <v>98</v>
      </c>
      <c r="D26" s="5" t="s">
        <v>157</v>
      </c>
      <c r="E26" s="2" t="s">
        <v>158</v>
      </c>
      <c r="F26" s="2" t="s">
        <v>159</v>
      </c>
      <c r="G26" s="2" t="s">
        <v>160</v>
      </c>
      <c r="H26" s="2" t="s">
        <v>161</v>
      </c>
      <c r="I26" s="2" t="s">
        <v>162</v>
      </c>
      <c r="J26" s="2">
        <v>237</v>
      </c>
      <c r="K26" s="2" t="s">
        <v>49</v>
      </c>
      <c r="L26" s="2" t="s">
        <v>27</v>
      </c>
      <c r="M26" s="2" t="s">
        <v>156</v>
      </c>
      <c r="N26" s="2" t="s">
        <v>4</v>
      </c>
      <c r="O26" s="2">
        <v>0</v>
      </c>
    </row>
    <row r="27" spans="1:15" x14ac:dyDescent="0.3">
      <c r="A27" s="22"/>
      <c r="B27" s="3">
        <v>16</v>
      </c>
      <c r="C27" s="5" t="s">
        <v>164</v>
      </c>
      <c r="D27" s="2" t="s">
        <v>165</v>
      </c>
      <c r="E27" s="2" t="s">
        <v>166</v>
      </c>
      <c r="F27" s="2" t="s">
        <v>167</v>
      </c>
      <c r="G27" s="2" t="s">
        <v>168</v>
      </c>
      <c r="H27" s="2" t="s">
        <v>169</v>
      </c>
      <c r="I27" s="2" t="s">
        <v>78</v>
      </c>
      <c r="J27" s="2" t="s">
        <v>148</v>
      </c>
      <c r="K27" s="2">
        <v>0</v>
      </c>
      <c r="L27" s="2" t="s">
        <v>4</v>
      </c>
      <c r="M27" s="2" t="s">
        <v>163</v>
      </c>
      <c r="N27" s="2" t="s">
        <v>4</v>
      </c>
      <c r="O27" s="2" t="s">
        <v>121</v>
      </c>
    </row>
    <row r="28" spans="1:15" x14ac:dyDescent="0.3">
      <c r="A28" s="22"/>
      <c r="B28" s="3">
        <v>20</v>
      </c>
      <c r="C28" s="2" t="s">
        <v>170</v>
      </c>
      <c r="D28" s="2" t="s">
        <v>171</v>
      </c>
      <c r="E28" s="2" t="s">
        <v>172</v>
      </c>
      <c r="F28" s="2" t="s">
        <v>173</v>
      </c>
      <c r="G28" s="2" t="s">
        <v>174</v>
      </c>
      <c r="H28" s="2" t="s">
        <v>175</v>
      </c>
      <c r="I28" s="2" t="s">
        <v>162</v>
      </c>
      <c r="J28" s="2" t="s">
        <v>176</v>
      </c>
      <c r="K28" s="2" t="s">
        <v>121</v>
      </c>
      <c r="L28" s="2" t="s">
        <v>27</v>
      </c>
      <c r="M28" s="2" t="s">
        <v>149</v>
      </c>
      <c r="N28" s="2">
        <v>0</v>
      </c>
      <c r="O28" s="2">
        <v>0</v>
      </c>
    </row>
    <row r="29" spans="1:15" x14ac:dyDescent="0.3">
      <c r="A29" s="22"/>
      <c r="B29" s="3">
        <v>0</v>
      </c>
      <c r="C29" s="5" t="s">
        <v>178</v>
      </c>
      <c r="D29" s="5" t="s">
        <v>179</v>
      </c>
      <c r="E29" s="2" t="s">
        <v>180</v>
      </c>
      <c r="F29" s="2" t="s">
        <v>181</v>
      </c>
      <c r="G29" s="2" t="s">
        <v>182</v>
      </c>
      <c r="H29" s="2" t="s">
        <v>183</v>
      </c>
      <c r="I29" s="2" t="s">
        <v>162</v>
      </c>
      <c r="J29" s="2" t="s">
        <v>184</v>
      </c>
      <c r="K29" s="2" t="s">
        <v>121</v>
      </c>
      <c r="L29" s="2" t="s">
        <v>4</v>
      </c>
      <c r="M29" s="2" t="s">
        <v>177</v>
      </c>
      <c r="N29" s="2">
        <v>0</v>
      </c>
      <c r="O29" s="2">
        <v>0</v>
      </c>
    </row>
    <row r="30" spans="1:15" x14ac:dyDescent="0.3">
      <c r="A30" s="22"/>
      <c r="B30" s="3" t="s">
        <v>312</v>
      </c>
      <c r="C30" s="7">
        <v>24.9</v>
      </c>
      <c r="D30" s="7">
        <v>13.03</v>
      </c>
      <c r="E30" s="7">
        <v>8.75</v>
      </c>
      <c r="F30" s="6">
        <v>199.2</v>
      </c>
      <c r="G30" s="7">
        <v>7.98</v>
      </c>
      <c r="H30" s="6">
        <v>475.2</v>
      </c>
      <c r="I30" s="7">
        <v>0.255</v>
      </c>
      <c r="J30" s="6">
        <v>239.7</v>
      </c>
      <c r="K30" s="3">
        <v>0.43</v>
      </c>
      <c r="L30" s="3">
        <v>0.02</v>
      </c>
      <c r="M30" s="3">
        <v>0</v>
      </c>
      <c r="N30" s="3">
        <v>0</v>
      </c>
      <c r="O30" s="3">
        <v>0</v>
      </c>
    </row>
    <row r="31" spans="1:15" x14ac:dyDescent="0.3">
      <c r="A31" s="23"/>
      <c r="B31" s="3" t="s">
        <v>313</v>
      </c>
      <c r="C31" s="7">
        <v>23.22</v>
      </c>
      <c r="D31" s="7">
        <v>10.029999999999999</v>
      </c>
      <c r="E31" s="7">
        <v>8.7810000000000006</v>
      </c>
      <c r="F31" s="6">
        <v>210.4</v>
      </c>
      <c r="G31" s="7">
        <v>12.582000000000001</v>
      </c>
      <c r="H31" s="6">
        <v>483.3</v>
      </c>
      <c r="I31" s="7">
        <v>0.25900000000000001</v>
      </c>
      <c r="J31" s="6">
        <v>243.8</v>
      </c>
      <c r="K31" s="3">
        <v>0.18</v>
      </c>
      <c r="L31" s="3">
        <v>0.02</v>
      </c>
      <c r="M31" s="3">
        <v>0</v>
      </c>
      <c r="N31" s="3">
        <v>0</v>
      </c>
      <c r="O31" s="3">
        <v>0</v>
      </c>
    </row>
    <row r="32" spans="1:15" x14ac:dyDescent="0.3">
      <c r="A32" s="21" t="s">
        <v>309</v>
      </c>
      <c r="B32" s="3">
        <v>8</v>
      </c>
      <c r="C32" s="2" t="s">
        <v>186</v>
      </c>
      <c r="D32" s="2" t="s">
        <v>187</v>
      </c>
      <c r="E32" s="2" t="s">
        <v>188</v>
      </c>
      <c r="F32" s="2" t="s">
        <v>189</v>
      </c>
      <c r="G32" s="2" t="s">
        <v>190</v>
      </c>
      <c r="H32" s="2" t="s">
        <v>191</v>
      </c>
      <c r="I32" s="2" t="s">
        <v>78</v>
      </c>
      <c r="J32" s="2">
        <v>239</v>
      </c>
      <c r="K32" s="2" t="s">
        <v>121</v>
      </c>
      <c r="L32" s="2" t="s">
        <v>4</v>
      </c>
      <c r="M32" s="2">
        <v>1</v>
      </c>
      <c r="N32" s="2">
        <v>0</v>
      </c>
      <c r="O32" s="2" t="s">
        <v>185</v>
      </c>
    </row>
    <row r="33" spans="1:15" x14ac:dyDescent="0.3">
      <c r="A33" s="22"/>
      <c r="B33" s="3">
        <v>9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197</v>
      </c>
      <c r="H33" s="2" t="s">
        <v>198</v>
      </c>
      <c r="I33" s="2" t="s">
        <v>162</v>
      </c>
      <c r="J33" s="2" t="s">
        <v>199</v>
      </c>
      <c r="K33" s="2" t="s">
        <v>121</v>
      </c>
      <c r="L33" s="2">
        <v>0</v>
      </c>
      <c r="M33" s="2" t="s">
        <v>192</v>
      </c>
      <c r="N33" s="2" t="s">
        <v>4</v>
      </c>
      <c r="O33" s="2" t="s">
        <v>4</v>
      </c>
    </row>
    <row r="34" spans="1:15" x14ac:dyDescent="0.3">
      <c r="A34" s="22"/>
      <c r="B34" s="3">
        <v>10</v>
      </c>
      <c r="C34" s="2" t="s">
        <v>143</v>
      </c>
      <c r="D34" s="5" t="s">
        <v>202</v>
      </c>
      <c r="E34" s="2" t="s">
        <v>203</v>
      </c>
      <c r="F34" s="2" t="s">
        <v>204</v>
      </c>
      <c r="G34" s="2" t="s">
        <v>205</v>
      </c>
      <c r="H34" s="2" t="s">
        <v>206</v>
      </c>
      <c r="I34" s="2" t="s">
        <v>207</v>
      </c>
      <c r="J34" s="2" t="s">
        <v>208</v>
      </c>
      <c r="K34" s="2" t="s">
        <v>27</v>
      </c>
      <c r="L34" s="2" t="s">
        <v>4</v>
      </c>
      <c r="M34" s="2" t="s">
        <v>200</v>
      </c>
      <c r="N34" s="2" t="s">
        <v>4</v>
      </c>
      <c r="O34" s="2" t="s">
        <v>201</v>
      </c>
    </row>
    <row r="35" spans="1:15" x14ac:dyDescent="0.3">
      <c r="A35" s="22"/>
      <c r="B35" s="3">
        <v>11</v>
      </c>
      <c r="C35" s="2" t="s">
        <v>209</v>
      </c>
      <c r="D35" s="2" t="s">
        <v>210</v>
      </c>
      <c r="E35" s="2" t="s">
        <v>211</v>
      </c>
      <c r="F35" s="2" t="s">
        <v>212</v>
      </c>
      <c r="G35" s="2" t="s">
        <v>213</v>
      </c>
      <c r="H35" s="2">
        <v>471</v>
      </c>
      <c r="I35" s="2" t="s">
        <v>104</v>
      </c>
      <c r="J35" s="2" t="s">
        <v>214</v>
      </c>
      <c r="K35" s="2" t="s">
        <v>4</v>
      </c>
      <c r="L35" s="2">
        <v>0</v>
      </c>
      <c r="M35" s="2" t="s">
        <v>200</v>
      </c>
      <c r="N35" s="2" t="s">
        <v>4</v>
      </c>
      <c r="O35" s="2" t="s">
        <v>27</v>
      </c>
    </row>
    <row r="36" spans="1:15" x14ac:dyDescent="0.3">
      <c r="A36" s="22"/>
      <c r="B36" s="3">
        <v>12</v>
      </c>
      <c r="C36" s="2" t="s">
        <v>216</v>
      </c>
      <c r="D36" s="2" t="s">
        <v>217</v>
      </c>
      <c r="E36" s="2" t="s">
        <v>218</v>
      </c>
      <c r="F36" s="2" t="s">
        <v>110</v>
      </c>
      <c r="G36" s="2" t="s">
        <v>219</v>
      </c>
      <c r="H36" s="2" t="s">
        <v>220</v>
      </c>
      <c r="I36" s="2" t="s">
        <v>221</v>
      </c>
      <c r="J36" s="2" t="s">
        <v>222</v>
      </c>
      <c r="K36" s="2" t="s">
        <v>49</v>
      </c>
      <c r="L36" s="2" t="s">
        <v>4</v>
      </c>
      <c r="M36" s="2" t="s">
        <v>215</v>
      </c>
      <c r="N36" s="2" t="s">
        <v>4</v>
      </c>
      <c r="O36" s="2" t="s">
        <v>4</v>
      </c>
    </row>
    <row r="37" spans="1:15" x14ac:dyDescent="0.3">
      <c r="A37" s="22"/>
      <c r="B37" s="3">
        <v>16</v>
      </c>
      <c r="C37" s="5" t="s">
        <v>223</v>
      </c>
      <c r="D37" s="5" t="s">
        <v>224</v>
      </c>
      <c r="E37" s="2" t="s">
        <v>211</v>
      </c>
      <c r="F37" s="2" t="s">
        <v>225</v>
      </c>
      <c r="G37" s="2" t="s">
        <v>226</v>
      </c>
      <c r="H37" s="2" t="s">
        <v>227</v>
      </c>
      <c r="I37" s="2" t="s">
        <v>78</v>
      </c>
      <c r="J37" s="2" t="s">
        <v>228</v>
      </c>
      <c r="K37" s="2" t="s">
        <v>4</v>
      </c>
      <c r="L37" s="2" t="s">
        <v>27</v>
      </c>
      <c r="M37" s="2">
        <v>1.01</v>
      </c>
      <c r="N37" s="2" t="s">
        <v>4</v>
      </c>
      <c r="O37" s="2" t="s">
        <v>27</v>
      </c>
    </row>
    <row r="38" spans="1:15" x14ac:dyDescent="0.3">
      <c r="A38" s="22"/>
      <c r="B38" s="3">
        <v>20</v>
      </c>
      <c r="C38" s="5" t="s">
        <v>72</v>
      </c>
      <c r="D38" s="5" t="s">
        <v>230</v>
      </c>
      <c r="E38" s="2" t="s">
        <v>231</v>
      </c>
      <c r="F38" s="2" t="s">
        <v>232</v>
      </c>
      <c r="G38" s="2" t="s">
        <v>233</v>
      </c>
      <c r="H38" s="2" t="s">
        <v>175</v>
      </c>
      <c r="I38" s="2" t="s">
        <v>162</v>
      </c>
      <c r="J38" s="2" t="s">
        <v>234</v>
      </c>
      <c r="K38" s="2" t="s">
        <v>4</v>
      </c>
      <c r="L38" s="2" t="s">
        <v>27</v>
      </c>
      <c r="M38" s="2" t="s">
        <v>229</v>
      </c>
      <c r="N38" s="2" t="s">
        <v>4</v>
      </c>
      <c r="O38" s="2" t="s">
        <v>121</v>
      </c>
    </row>
    <row r="39" spans="1:15" x14ac:dyDescent="0.3">
      <c r="A39" s="22"/>
      <c r="B39" s="3">
        <v>0</v>
      </c>
      <c r="C39" s="5" t="s">
        <v>236</v>
      </c>
      <c r="D39" s="5" t="s">
        <v>237</v>
      </c>
      <c r="E39" s="2" t="s">
        <v>238</v>
      </c>
      <c r="F39" s="2" t="s">
        <v>239</v>
      </c>
      <c r="G39" s="2" t="s">
        <v>240</v>
      </c>
      <c r="H39" s="2" t="s">
        <v>241</v>
      </c>
      <c r="I39" s="2" t="s">
        <v>104</v>
      </c>
      <c r="J39" s="2" t="s">
        <v>105</v>
      </c>
      <c r="K39" s="2" t="s">
        <v>27</v>
      </c>
      <c r="L39" s="2" t="s">
        <v>27</v>
      </c>
      <c r="M39" s="2" t="s">
        <v>235</v>
      </c>
      <c r="N39" s="2" t="s">
        <v>4</v>
      </c>
      <c r="O39" s="2" t="s">
        <v>121</v>
      </c>
    </row>
    <row r="40" spans="1:15" x14ac:dyDescent="0.3">
      <c r="A40" s="22"/>
      <c r="B40" s="3" t="s">
        <v>312</v>
      </c>
      <c r="C40" s="7">
        <v>24.2</v>
      </c>
      <c r="D40" s="7">
        <v>13.95</v>
      </c>
      <c r="E40" s="7">
        <v>8.8699999999999992</v>
      </c>
      <c r="F40" s="6">
        <v>159.4</v>
      </c>
      <c r="G40" s="7">
        <v>8.6199999999999992</v>
      </c>
      <c r="H40" s="6">
        <v>477.3</v>
      </c>
      <c r="I40" s="7">
        <v>0.255</v>
      </c>
      <c r="J40" s="6">
        <v>239.1</v>
      </c>
      <c r="K40" s="3">
        <v>0.06</v>
      </c>
      <c r="L40" s="3">
        <v>0.02</v>
      </c>
      <c r="M40" s="3">
        <v>0</v>
      </c>
      <c r="N40" s="3">
        <v>0.01</v>
      </c>
      <c r="O40" s="3">
        <v>0</v>
      </c>
    </row>
    <row r="41" spans="1:15" x14ac:dyDescent="0.3">
      <c r="A41" s="23"/>
      <c r="B41" s="3" t="s">
        <v>313</v>
      </c>
      <c r="C41" s="7">
        <v>23.18</v>
      </c>
      <c r="D41" s="7">
        <v>11.5</v>
      </c>
      <c r="E41" s="7">
        <v>8.8309999999999995</v>
      </c>
      <c r="F41" s="6">
        <v>192.7</v>
      </c>
      <c r="G41" s="7">
        <v>13.69</v>
      </c>
      <c r="H41" s="6">
        <v>479.5</v>
      </c>
      <c r="I41" s="7">
        <v>0.25700000000000001</v>
      </c>
      <c r="J41" s="6">
        <v>242</v>
      </c>
      <c r="K41" s="3">
        <v>0.11</v>
      </c>
      <c r="L41" s="3">
        <v>0.02</v>
      </c>
      <c r="M41" s="3">
        <v>0</v>
      </c>
      <c r="N41" s="3">
        <v>0.01</v>
      </c>
      <c r="O41" s="3">
        <v>0</v>
      </c>
    </row>
    <row r="42" spans="1:15" x14ac:dyDescent="0.3">
      <c r="A42" s="21" t="s">
        <v>310</v>
      </c>
      <c r="B42" s="3">
        <v>8</v>
      </c>
      <c r="C42" s="2" t="s">
        <v>242</v>
      </c>
      <c r="D42" s="2" t="s">
        <v>243</v>
      </c>
      <c r="E42" s="2" t="s">
        <v>244</v>
      </c>
      <c r="F42" s="2">
        <v>231</v>
      </c>
      <c r="G42" s="2" t="s">
        <v>245</v>
      </c>
      <c r="H42" s="2" t="s">
        <v>246</v>
      </c>
      <c r="I42" s="2" t="s">
        <v>247</v>
      </c>
      <c r="J42" s="2" t="s">
        <v>248</v>
      </c>
      <c r="K42" s="2" t="s">
        <v>49</v>
      </c>
      <c r="L42" s="2">
        <v>0</v>
      </c>
      <c r="M42" s="2" t="s">
        <v>177</v>
      </c>
      <c r="N42" s="2" t="s">
        <v>4</v>
      </c>
      <c r="O42" s="2" t="s">
        <v>4</v>
      </c>
    </row>
    <row r="43" spans="1:15" x14ac:dyDescent="0.3">
      <c r="A43" s="22"/>
      <c r="B43" s="3">
        <v>9</v>
      </c>
      <c r="C43" s="2" t="s">
        <v>250</v>
      </c>
      <c r="D43" s="5" t="s">
        <v>251</v>
      </c>
      <c r="E43" s="2" t="s">
        <v>252</v>
      </c>
      <c r="F43" s="2" t="s">
        <v>253</v>
      </c>
      <c r="G43" s="2" t="s">
        <v>168</v>
      </c>
      <c r="H43" s="2" t="s">
        <v>254</v>
      </c>
      <c r="I43" s="2" t="s">
        <v>247</v>
      </c>
      <c r="J43" s="2" t="s">
        <v>255</v>
      </c>
      <c r="K43" s="2">
        <v>0</v>
      </c>
      <c r="L43" s="2">
        <v>0</v>
      </c>
      <c r="M43" s="2" t="s">
        <v>249</v>
      </c>
      <c r="N43" s="2" t="s">
        <v>4</v>
      </c>
      <c r="O43" s="2" t="s">
        <v>4</v>
      </c>
    </row>
    <row r="44" spans="1:15" x14ac:dyDescent="0.3">
      <c r="A44" s="22"/>
      <c r="B44" s="3">
        <v>10</v>
      </c>
      <c r="C44" s="5" t="s">
        <v>256</v>
      </c>
      <c r="D44" s="5" t="s">
        <v>257</v>
      </c>
      <c r="E44" s="2" t="s">
        <v>258</v>
      </c>
      <c r="F44" s="2" t="s">
        <v>259</v>
      </c>
      <c r="G44" s="2" t="s">
        <v>260</v>
      </c>
      <c r="H44" s="2" t="s">
        <v>261</v>
      </c>
      <c r="I44" s="2" t="s">
        <v>247</v>
      </c>
      <c r="J44" s="2" t="s">
        <v>262</v>
      </c>
      <c r="K44" s="2" t="s">
        <v>4</v>
      </c>
      <c r="L44" s="2" t="s">
        <v>27</v>
      </c>
      <c r="M44" s="2">
        <v>1.1100000000000001</v>
      </c>
      <c r="N44" s="2">
        <v>0</v>
      </c>
      <c r="O44" s="2">
        <v>0</v>
      </c>
    </row>
    <row r="45" spans="1:15" x14ac:dyDescent="0.3">
      <c r="A45" s="22"/>
      <c r="B45" s="3">
        <v>11</v>
      </c>
      <c r="C45" s="2" t="s">
        <v>264</v>
      </c>
      <c r="D45" s="5" t="s">
        <v>116</v>
      </c>
      <c r="E45" s="2" t="s">
        <v>205</v>
      </c>
      <c r="F45" s="2" t="s">
        <v>84</v>
      </c>
      <c r="G45" s="2" t="s">
        <v>265</v>
      </c>
      <c r="H45" s="2" t="s">
        <v>266</v>
      </c>
      <c r="I45" s="2" t="s">
        <v>247</v>
      </c>
      <c r="J45" s="2" t="s">
        <v>267</v>
      </c>
      <c r="K45" s="2">
        <v>0</v>
      </c>
      <c r="L45" s="2">
        <v>0</v>
      </c>
      <c r="M45" s="2" t="s">
        <v>263</v>
      </c>
      <c r="N45" s="2" t="s">
        <v>4</v>
      </c>
      <c r="O45" s="2" t="s">
        <v>27</v>
      </c>
    </row>
    <row r="46" spans="1:15" x14ac:dyDescent="0.3">
      <c r="A46" s="22"/>
      <c r="B46" s="3">
        <v>12</v>
      </c>
      <c r="C46" s="2" t="s">
        <v>268</v>
      </c>
      <c r="D46" s="5" t="s">
        <v>269</v>
      </c>
      <c r="E46" s="2" t="s">
        <v>270</v>
      </c>
      <c r="F46" s="2">
        <v>215</v>
      </c>
      <c r="G46" s="2" t="s">
        <v>271</v>
      </c>
      <c r="H46" s="2" t="s">
        <v>272</v>
      </c>
      <c r="I46" s="2" t="s">
        <v>273</v>
      </c>
      <c r="J46" s="2" t="s">
        <v>274</v>
      </c>
      <c r="K46" s="2">
        <v>0</v>
      </c>
      <c r="L46" s="2" t="s">
        <v>27</v>
      </c>
      <c r="M46" s="2">
        <v>4.08</v>
      </c>
      <c r="N46" s="2">
        <v>0</v>
      </c>
      <c r="O46" s="2">
        <v>0</v>
      </c>
    </row>
    <row r="47" spans="1:15" x14ac:dyDescent="0.3">
      <c r="A47" s="22"/>
      <c r="B47" s="3">
        <v>16</v>
      </c>
      <c r="C47" s="2" t="s">
        <v>276</v>
      </c>
      <c r="D47" s="5" t="s">
        <v>277</v>
      </c>
      <c r="E47" s="2" t="s">
        <v>278</v>
      </c>
      <c r="F47" s="2" t="s">
        <v>279</v>
      </c>
      <c r="G47" s="2" t="s">
        <v>280</v>
      </c>
      <c r="H47" s="2" t="s">
        <v>281</v>
      </c>
      <c r="I47" s="2" t="s">
        <v>273</v>
      </c>
      <c r="J47" s="2" t="s">
        <v>282</v>
      </c>
      <c r="K47" s="2" t="s">
        <v>4</v>
      </c>
      <c r="L47" s="2">
        <v>0</v>
      </c>
      <c r="M47" s="2" t="s">
        <v>275</v>
      </c>
      <c r="N47" s="2" t="s">
        <v>4</v>
      </c>
      <c r="O47" s="2" t="s">
        <v>121</v>
      </c>
    </row>
    <row r="48" spans="1:15" x14ac:dyDescent="0.3">
      <c r="A48" s="22"/>
      <c r="B48" s="3">
        <v>20</v>
      </c>
      <c r="C48" s="2" t="s">
        <v>285</v>
      </c>
      <c r="D48" s="5" t="s">
        <v>286</v>
      </c>
      <c r="E48" s="2" t="s">
        <v>109</v>
      </c>
      <c r="F48" s="2" t="s">
        <v>287</v>
      </c>
      <c r="G48" s="5" t="s">
        <v>28</v>
      </c>
      <c r="H48" s="2" t="s">
        <v>288</v>
      </c>
      <c r="I48" s="2" t="s">
        <v>247</v>
      </c>
      <c r="J48" s="2" t="s">
        <v>88</v>
      </c>
      <c r="K48" s="2" t="s">
        <v>27</v>
      </c>
      <c r="L48" s="2">
        <v>0</v>
      </c>
      <c r="M48" s="2" t="s">
        <v>283</v>
      </c>
      <c r="N48" s="2" t="s">
        <v>4</v>
      </c>
      <c r="O48" s="2" t="s">
        <v>284</v>
      </c>
    </row>
    <row r="49" spans="1:15" x14ac:dyDescent="0.3">
      <c r="A49" s="22"/>
      <c r="B49" s="3">
        <v>0</v>
      </c>
      <c r="C49" s="2" t="s">
        <v>290</v>
      </c>
      <c r="D49" s="5" t="s">
        <v>291</v>
      </c>
      <c r="E49" s="2" t="s">
        <v>292</v>
      </c>
      <c r="F49" s="2" t="s">
        <v>293</v>
      </c>
      <c r="G49" s="2" t="s">
        <v>294</v>
      </c>
      <c r="H49" s="2" t="s">
        <v>295</v>
      </c>
      <c r="I49" s="2" t="s">
        <v>273</v>
      </c>
      <c r="J49" s="2" t="s">
        <v>296</v>
      </c>
      <c r="K49" s="2" t="s">
        <v>289</v>
      </c>
      <c r="L49" s="2" t="s">
        <v>4</v>
      </c>
      <c r="M49" s="2" t="s">
        <v>249</v>
      </c>
      <c r="N49" s="2">
        <v>0</v>
      </c>
      <c r="O49" s="2">
        <v>0</v>
      </c>
    </row>
    <row r="50" spans="1:15" x14ac:dyDescent="0.3">
      <c r="A50" s="22"/>
      <c r="B50" s="3" t="s">
        <v>312</v>
      </c>
      <c r="C50" s="7">
        <v>8.7799999999999994</v>
      </c>
      <c r="D50" s="7">
        <v>13.7</v>
      </c>
      <c r="E50" s="7">
        <v>8.7799999999999994</v>
      </c>
      <c r="F50" s="6">
        <v>192.6</v>
      </c>
      <c r="G50" s="7">
        <v>8.69</v>
      </c>
      <c r="H50" s="6">
        <v>484.3</v>
      </c>
      <c r="I50" s="7">
        <v>0.26</v>
      </c>
      <c r="J50" s="6">
        <v>242.8</v>
      </c>
      <c r="K50" s="3">
        <v>0.04</v>
      </c>
      <c r="L50" s="3">
        <v>0.01</v>
      </c>
      <c r="M50" s="3">
        <v>0</v>
      </c>
      <c r="N50" s="3">
        <v>0</v>
      </c>
      <c r="O50" s="3">
        <v>0</v>
      </c>
    </row>
    <row r="51" spans="1:15" x14ac:dyDescent="0.3">
      <c r="A51" s="23"/>
      <c r="B51" s="3" t="s">
        <v>313</v>
      </c>
      <c r="C51" s="7">
        <v>23.03</v>
      </c>
      <c r="D51" s="7">
        <v>11.31</v>
      </c>
      <c r="E51" s="7">
        <v>8.7750000000000004</v>
      </c>
      <c r="F51" s="6">
        <v>203.8</v>
      </c>
      <c r="G51" s="7">
        <v>11.35</v>
      </c>
      <c r="H51" s="6">
        <v>480</v>
      </c>
      <c r="I51" s="7">
        <v>0.25700000000000001</v>
      </c>
      <c r="J51" s="6">
        <v>242.1</v>
      </c>
      <c r="K51" s="3">
        <v>0.08</v>
      </c>
      <c r="L51" s="3">
        <v>0.02</v>
      </c>
      <c r="M51" s="3">
        <v>0</v>
      </c>
      <c r="N51" s="3">
        <v>0.01</v>
      </c>
      <c r="O51" s="3">
        <v>0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DC99-3C10-4786-A7D5-1B2E607158A9}">
  <dimension ref="A1:O52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12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9" width="8.88671875" style="1"/>
    <col min="10" max="10" width="9.6640625" style="1" bestFit="1" customWidth="1"/>
    <col min="11" max="11" width="9.6640625" style="1" customWidth="1"/>
    <col min="12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10" t="s">
        <v>314</v>
      </c>
      <c r="D1" s="10" t="s">
        <v>318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13.413</v>
      </c>
      <c r="D2" s="3">
        <f>(SUM($C$2:$C$11)-C2)/(COUNT($C$2:$C$11)-1)</f>
        <v>14.027777777777779</v>
      </c>
      <c r="E2" s="3">
        <f>C2-D2</f>
        <v>-0.61477777777777831</v>
      </c>
      <c r="F2" s="3">
        <f>ABS(E2)</f>
        <v>0.61477777777777831</v>
      </c>
      <c r="G2" s="3">
        <f>E2^2</f>
        <v>0.37795171604938338</v>
      </c>
    </row>
    <row r="3" spans="1:15" x14ac:dyDescent="0.3">
      <c r="A3" s="22"/>
      <c r="B3" s="3">
        <v>9</v>
      </c>
      <c r="C3" s="3">
        <v>13.15</v>
      </c>
      <c r="D3" s="3">
        <f t="shared" ref="D3:D11" si="0">(SUM($C$2:$C$11)-C3)/(COUNT($C$2:$C$11)-1)</f>
        <v>14.057</v>
      </c>
      <c r="E3" s="3">
        <f t="shared" ref="E3:E11" si="1">C3-D3</f>
        <v>-0.90700000000000003</v>
      </c>
      <c r="F3" s="3">
        <f t="shared" ref="F3:F51" si="2">ABS(E3)</f>
        <v>0.90700000000000003</v>
      </c>
      <c r="G3" s="3">
        <f t="shared" ref="G3:G51" si="3">E3^2</f>
        <v>0.82264900000000007</v>
      </c>
      <c r="J3" s="2" t="s">
        <v>335</v>
      </c>
      <c r="K3" s="2" t="s">
        <v>347</v>
      </c>
      <c r="L3" s="2" t="s">
        <v>346</v>
      </c>
      <c r="M3" s="2" t="s">
        <v>319</v>
      </c>
      <c r="N3" s="2" t="s">
        <v>320</v>
      </c>
      <c r="O3" s="2" t="s">
        <v>348</v>
      </c>
    </row>
    <row r="4" spans="1:15" x14ac:dyDescent="0.3">
      <c r="A4" s="22"/>
      <c r="B4" s="3">
        <v>10</v>
      </c>
      <c r="C4" s="3">
        <v>14.15</v>
      </c>
      <c r="D4" s="3">
        <f t="shared" si="0"/>
        <v>13.94588888888889</v>
      </c>
      <c r="E4" s="3">
        <f t="shared" si="1"/>
        <v>0.20411111111111069</v>
      </c>
      <c r="F4" s="3">
        <f t="shared" si="2"/>
        <v>0.20411111111111069</v>
      </c>
      <c r="G4" s="3">
        <f t="shared" si="3"/>
        <v>4.1661345679012175E-2</v>
      </c>
      <c r="J4" s="2" t="s">
        <v>297</v>
      </c>
      <c r="K4" s="3">
        <f>AVERAGE(E2:E11)</f>
        <v>-5.3290705182007512E-16</v>
      </c>
      <c r="L4" s="3">
        <f>AVERAGE(F2:F11)</f>
        <v>0.64633333333333298</v>
      </c>
      <c r="M4" s="3">
        <f>AVERAGE(G2:G11)</f>
        <v>0.50221137037037</v>
      </c>
      <c r="N4" s="3">
        <f>SQRT(M4)</f>
        <v>0.70866873105165995</v>
      </c>
      <c r="O4" s="3">
        <f>N4/AVERAGE(C6:C11)*100</f>
        <v>5.0409156921279896</v>
      </c>
    </row>
    <row r="5" spans="1:15" ht="15" customHeight="1" x14ac:dyDescent="0.3">
      <c r="A5" s="22"/>
      <c r="B5" s="3">
        <v>11</v>
      </c>
      <c r="C5" s="3">
        <v>14.6</v>
      </c>
      <c r="D5" s="3">
        <f t="shared" si="0"/>
        <v>13.895888888888891</v>
      </c>
      <c r="E5" s="3">
        <f t="shared" si="1"/>
        <v>0.70411111111110891</v>
      </c>
      <c r="F5" s="3">
        <f t="shared" si="2"/>
        <v>0.70411111111110891</v>
      </c>
      <c r="G5" s="3">
        <f t="shared" si="3"/>
        <v>0.49577245679012039</v>
      </c>
      <c r="J5" s="2">
        <v>33</v>
      </c>
      <c r="K5" s="3">
        <f>AVERAGE(E16:E21)</f>
        <v>-0.13555555555555365</v>
      </c>
      <c r="L5" s="3">
        <f>AVERAGE(F16:F21)</f>
        <v>0.80555555555555536</v>
      </c>
      <c r="M5" s="3">
        <f>AVERAGE(G16:G21)</f>
        <v>0.946389711934156</v>
      </c>
      <c r="N5" s="3">
        <f t="shared" ref="N5:N8" si="4">SQRT(M5)</f>
        <v>0.97282563285213453</v>
      </c>
      <c r="O5" s="3">
        <f>N5/AVERAGE(C16:C21)*100</f>
        <v>3.8889691499185872</v>
      </c>
    </row>
    <row r="6" spans="1:15" x14ac:dyDescent="0.3">
      <c r="A6" s="22"/>
      <c r="B6" s="3">
        <v>12</v>
      </c>
      <c r="C6" s="3">
        <v>14.7</v>
      </c>
      <c r="D6" s="3">
        <f t="shared" si="0"/>
        <v>13.884777777777778</v>
      </c>
      <c r="E6" s="3">
        <f t="shared" si="1"/>
        <v>0.8152222222222214</v>
      </c>
      <c r="F6" s="3">
        <f t="shared" si="2"/>
        <v>0.8152222222222214</v>
      </c>
      <c r="G6" s="3">
        <f t="shared" si="3"/>
        <v>0.66458727160493691</v>
      </c>
      <c r="J6" s="2">
        <v>46</v>
      </c>
      <c r="K6" s="3">
        <f>AVERAGE(E26:E31)</f>
        <v>-8.407407407407301E-2</v>
      </c>
      <c r="L6" s="3">
        <f>AVERAGE(F26:F31)</f>
        <v>0.97037037037037044</v>
      </c>
      <c r="M6" s="3">
        <f>AVERAGE(G26:G31)</f>
        <v>1.6065609053497951</v>
      </c>
      <c r="N6" s="3">
        <f t="shared" si="4"/>
        <v>1.2675018364285691</v>
      </c>
      <c r="O6" s="3">
        <f>N6/AVERAGE(C26:C31)*100</f>
        <v>5.0191466595640275</v>
      </c>
    </row>
    <row r="7" spans="1:15" x14ac:dyDescent="0.3">
      <c r="A7" s="22"/>
      <c r="B7" s="3">
        <v>16</v>
      </c>
      <c r="C7" s="3">
        <v>14.59</v>
      </c>
      <c r="D7" s="3">
        <f t="shared" si="0"/>
        <v>13.897</v>
      </c>
      <c r="E7" s="3">
        <f t="shared" si="1"/>
        <v>0.69299999999999962</v>
      </c>
      <c r="F7" s="3">
        <f t="shared" si="2"/>
        <v>0.69299999999999962</v>
      </c>
      <c r="G7" s="3">
        <f t="shared" si="3"/>
        <v>0.48024899999999948</v>
      </c>
      <c r="J7" s="2" t="s">
        <v>309</v>
      </c>
      <c r="K7" s="3">
        <f>AVERAGE(E36:E41)</f>
        <v>-0.30777777777777732</v>
      </c>
      <c r="L7" s="3">
        <f>AVERAGE(F36:F41)</f>
        <v>0.95074074074074133</v>
      </c>
      <c r="M7" s="3">
        <f>AVERAGE(G36:G41)</f>
        <v>1.3211777777777787</v>
      </c>
      <c r="N7" s="3">
        <f t="shared" si="4"/>
        <v>1.1494249770114529</v>
      </c>
      <c r="O7" s="3">
        <f>N7/AVERAGE(C36:C41)*100</f>
        <v>4.6226622843814713</v>
      </c>
    </row>
    <row r="8" spans="1:15" x14ac:dyDescent="0.3">
      <c r="A8" s="22"/>
      <c r="B8" s="3">
        <v>20</v>
      </c>
      <c r="C8" s="6">
        <v>13.46</v>
      </c>
      <c r="D8" s="3">
        <f t="shared" si="0"/>
        <v>14.022555555555556</v>
      </c>
      <c r="E8" s="3">
        <f t="shared" si="1"/>
        <v>-0.56255555555555503</v>
      </c>
      <c r="F8" s="3">
        <f t="shared" si="2"/>
        <v>0.56255555555555503</v>
      </c>
      <c r="G8" s="3">
        <f t="shared" si="3"/>
        <v>0.31646875308641914</v>
      </c>
      <c r="J8" s="2" t="s">
        <v>310</v>
      </c>
      <c r="K8" s="3">
        <f>AVERAGE(E46:E51)</f>
        <v>-1.1562962962962953</v>
      </c>
      <c r="L8" s="3">
        <f>AVERAGE(F46:F51)</f>
        <v>4.3059259259259255</v>
      </c>
      <c r="M8" s="3">
        <f>AVERAGE(G46:G51)</f>
        <v>47.301112345679002</v>
      </c>
      <c r="N8" s="3">
        <f t="shared" si="4"/>
        <v>6.8775804136105165</v>
      </c>
      <c r="O8" s="3">
        <f>N8/AVERAGE(C46:C51)*100</f>
        <v>30.926690010989354</v>
      </c>
    </row>
    <row r="9" spans="1:15" x14ac:dyDescent="0.3">
      <c r="A9" s="22"/>
      <c r="B9" s="3">
        <v>0</v>
      </c>
      <c r="C9" s="3">
        <v>14.7</v>
      </c>
      <c r="D9" s="3">
        <f t="shared" si="0"/>
        <v>13.884777777777778</v>
      </c>
      <c r="E9" s="3">
        <f t="shared" si="1"/>
        <v>0.8152222222222214</v>
      </c>
      <c r="F9" s="3">
        <f t="shared" si="2"/>
        <v>0.8152222222222214</v>
      </c>
      <c r="G9" s="3">
        <f t="shared" si="3"/>
        <v>0.66458727160493691</v>
      </c>
    </row>
    <row r="10" spans="1:15" x14ac:dyDescent="0.3">
      <c r="A10" s="22"/>
      <c r="B10" s="3" t="s">
        <v>312</v>
      </c>
      <c r="C10" s="3">
        <v>13</v>
      </c>
      <c r="D10" s="3">
        <f t="shared" si="0"/>
        <v>14.073666666666668</v>
      </c>
      <c r="E10" s="3">
        <f t="shared" si="1"/>
        <v>-1.0736666666666679</v>
      </c>
      <c r="F10" s="3">
        <f t="shared" si="2"/>
        <v>1.0736666666666679</v>
      </c>
      <c r="G10" s="3">
        <f t="shared" si="3"/>
        <v>1.1527601111111137</v>
      </c>
    </row>
    <row r="11" spans="1:15" x14ac:dyDescent="0.3">
      <c r="A11" s="23"/>
      <c r="B11" s="3" t="s">
        <v>313</v>
      </c>
      <c r="C11" s="3">
        <v>13.9</v>
      </c>
      <c r="D11" s="3">
        <f t="shared" si="0"/>
        <v>13.973666666666666</v>
      </c>
      <c r="E11" s="3">
        <f t="shared" si="1"/>
        <v>-7.3666666666666103E-2</v>
      </c>
      <c r="F11" s="3">
        <f t="shared" si="2"/>
        <v>7.3666666666666103E-2</v>
      </c>
      <c r="G11" s="3">
        <f t="shared" si="3"/>
        <v>5.4267777777776945E-3</v>
      </c>
    </row>
    <row r="12" spans="1:15" x14ac:dyDescent="0.3">
      <c r="A12" s="21">
        <v>33</v>
      </c>
      <c r="B12" s="9">
        <v>8</v>
      </c>
      <c r="C12" s="3">
        <v>25.05</v>
      </c>
      <c r="D12" s="3">
        <f>(SUM($C$12:$C$21)-C12)/(COUNT($C$12:$C$21)-1)</f>
        <v>25.146666666666661</v>
      </c>
      <c r="E12" s="3">
        <f>C12-D12</f>
        <v>-9.6666666666660461E-2</v>
      </c>
      <c r="F12" s="3">
        <f t="shared" si="2"/>
        <v>9.6666666666660461E-2</v>
      </c>
      <c r="G12" s="3">
        <f t="shared" si="3"/>
        <v>9.3444444444432447E-3</v>
      </c>
    </row>
    <row r="13" spans="1:15" x14ac:dyDescent="0.3">
      <c r="A13" s="22"/>
      <c r="B13" s="3">
        <v>9</v>
      </c>
      <c r="C13" s="3">
        <v>25.06</v>
      </c>
      <c r="D13" s="3">
        <f t="shared" ref="D13:D21" si="5">(SUM($C$12:$C$21)-C13)/(COUNT($C$12:$C$21)-1)</f>
        <v>25.145555555555553</v>
      </c>
      <c r="E13" s="3">
        <f t="shared" ref="E13:E51" si="6">C13-D13</f>
        <v>-8.5555555555554719E-2</v>
      </c>
      <c r="F13" s="3">
        <f t="shared" si="2"/>
        <v>8.5555555555554719E-2</v>
      </c>
      <c r="G13" s="3">
        <f t="shared" si="3"/>
        <v>7.3197530864196102E-3</v>
      </c>
    </row>
    <row r="14" spans="1:15" x14ac:dyDescent="0.3">
      <c r="A14" s="22"/>
      <c r="B14" s="3">
        <v>10</v>
      </c>
      <c r="C14" s="3">
        <v>25.33</v>
      </c>
      <c r="D14" s="3">
        <f t="shared" si="5"/>
        <v>25.115555555555552</v>
      </c>
      <c r="E14" s="3">
        <f t="shared" si="6"/>
        <v>0.21444444444444599</v>
      </c>
      <c r="F14" s="3">
        <f t="shared" si="2"/>
        <v>0.21444444444444599</v>
      </c>
      <c r="G14" s="3">
        <f t="shared" si="3"/>
        <v>4.5986419753087086E-2</v>
      </c>
    </row>
    <row r="15" spans="1:15" x14ac:dyDescent="0.3">
      <c r="A15" s="22"/>
      <c r="B15" s="3">
        <v>11</v>
      </c>
      <c r="C15" s="3">
        <v>25.84</v>
      </c>
      <c r="D15" s="3">
        <f t="shared" si="5"/>
        <v>25.058888888888887</v>
      </c>
      <c r="E15" s="3">
        <f t="shared" si="6"/>
        <v>0.78111111111111242</v>
      </c>
      <c r="F15" s="3">
        <f t="shared" si="2"/>
        <v>0.78111111111111242</v>
      </c>
      <c r="G15" s="3">
        <f t="shared" si="3"/>
        <v>0.61013456790123666</v>
      </c>
    </row>
    <row r="16" spans="1:15" x14ac:dyDescent="0.3">
      <c r="A16" s="22"/>
      <c r="B16" s="3">
        <v>12</v>
      </c>
      <c r="C16" s="3">
        <v>25.71</v>
      </c>
      <c r="D16" s="3">
        <f t="shared" si="5"/>
        <v>25.073333333333331</v>
      </c>
      <c r="E16" s="3">
        <f t="shared" si="6"/>
        <v>0.63666666666667027</v>
      </c>
      <c r="F16" s="3">
        <f t="shared" si="2"/>
        <v>0.63666666666667027</v>
      </c>
      <c r="G16" s="3">
        <f t="shared" si="3"/>
        <v>0.405344444444449</v>
      </c>
    </row>
    <row r="17" spans="1:7" x14ac:dyDescent="0.3">
      <c r="A17" s="22"/>
      <c r="B17" s="3">
        <v>16</v>
      </c>
      <c r="C17" s="3">
        <v>26.29</v>
      </c>
      <c r="D17" s="3">
        <f t="shared" si="5"/>
        <v>25.008888888888887</v>
      </c>
      <c r="E17" s="3">
        <f t="shared" si="6"/>
        <v>1.2811111111111124</v>
      </c>
      <c r="F17" s="3">
        <f t="shared" si="2"/>
        <v>1.2811111111111124</v>
      </c>
      <c r="G17" s="3">
        <f t="shared" si="3"/>
        <v>1.6412456790123491</v>
      </c>
    </row>
    <row r="18" spans="1:7" x14ac:dyDescent="0.3">
      <c r="A18" s="22"/>
      <c r="B18" s="3">
        <v>20</v>
      </c>
      <c r="C18" s="3">
        <v>25.22</v>
      </c>
      <c r="D18" s="3">
        <f t="shared" si="5"/>
        <v>25.127777777777776</v>
      </c>
      <c r="E18" s="3">
        <f t="shared" si="6"/>
        <v>9.2222222222222427E-2</v>
      </c>
      <c r="F18" s="3">
        <f t="shared" si="2"/>
        <v>9.2222222222222427E-2</v>
      </c>
      <c r="G18" s="3">
        <f t="shared" si="3"/>
        <v>8.5049382716049764E-3</v>
      </c>
    </row>
    <row r="19" spans="1:7" x14ac:dyDescent="0.3">
      <c r="A19" s="22"/>
      <c r="B19" s="3">
        <v>0</v>
      </c>
      <c r="C19" s="3">
        <v>24.6</v>
      </c>
      <c r="D19" s="3">
        <f t="shared" si="5"/>
        <v>25.196666666666665</v>
      </c>
      <c r="E19" s="3">
        <f t="shared" si="6"/>
        <v>-0.59666666666666401</v>
      </c>
      <c r="F19" s="3">
        <f t="shared" si="2"/>
        <v>0.59666666666666401</v>
      </c>
      <c r="G19" s="3">
        <f t="shared" si="3"/>
        <v>0.35601111111110795</v>
      </c>
    </row>
    <row r="20" spans="1:7" x14ac:dyDescent="0.3">
      <c r="A20" s="22"/>
      <c r="B20" s="3" t="s">
        <v>312</v>
      </c>
      <c r="C20" s="3">
        <v>24.7</v>
      </c>
      <c r="D20" s="3">
        <f t="shared" si="5"/>
        <v>25.185555555555553</v>
      </c>
      <c r="E20" s="3">
        <f t="shared" si="6"/>
        <v>-0.4855555555555533</v>
      </c>
      <c r="F20" s="3">
        <f t="shared" si="2"/>
        <v>0.4855555555555533</v>
      </c>
      <c r="G20" s="3">
        <f t="shared" si="3"/>
        <v>0.235764197530862</v>
      </c>
    </row>
    <row r="21" spans="1:7" x14ac:dyDescent="0.3">
      <c r="A21" s="23"/>
      <c r="B21" s="3" t="s">
        <v>313</v>
      </c>
      <c r="C21" s="3">
        <v>23.57</v>
      </c>
      <c r="D21" s="3">
        <f t="shared" si="5"/>
        <v>25.31111111111111</v>
      </c>
      <c r="E21" s="3">
        <f t="shared" si="6"/>
        <v>-1.7411111111111097</v>
      </c>
      <c r="F21" s="3">
        <f t="shared" si="2"/>
        <v>1.7411111111111097</v>
      </c>
      <c r="G21" s="3">
        <f t="shared" si="3"/>
        <v>3.0314679012345631</v>
      </c>
    </row>
    <row r="22" spans="1:7" x14ac:dyDescent="0.3">
      <c r="A22" s="21">
        <v>46</v>
      </c>
      <c r="B22" s="9">
        <v>8</v>
      </c>
      <c r="C22" s="3">
        <v>25.24</v>
      </c>
      <c r="D22" s="3">
        <f>(SUM($C$22:$C$31)-C22)/(COUNT($C$22:$C$31)-1)</f>
        <v>25.338888888888889</v>
      </c>
      <c r="E22" s="3">
        <f t="shared" si="6"/>
        <v>-9.8888888888890136E-2</v>
      </c>
      <c r="F22" s="3">
        <f t="shared" si="2"/>
        <v>9.8888888888890136E-2</v>
      </c>
      <c r="G22" s="3">
        <f t="shared" si="3"/>
        <v>9.7790123456792596E-3</v>
      </c>
    </row>
    <row r="23" spans="1:7" x14ac:dyDescent="0.3">
      <c r="A23" s="22"/>
      <c r="B23" s="3">
        <v>9</v>
      </c>
      <c r="C23" s="3">
        <v>25.73</v>
      </c>
      <c r="D23" s="3">
        <f t="shared" ref="D23:D31" si="7">(SUM($C$22:$C$31)-C23)/(COUNT($C$22:$C$31)-1)</f>
        <v>25.284444444444446</v>
      </c>
      <c r="E23" s="3">
        <f t="shared" si="6"/>
        <v>0.44555555555555415</v>
      </c>
      <c r="F23" s="3">
        <f t="shared" si="2"/>
        <v>0.44555555555555415</v>
      </c>
      <c r="G23" s="3">
        <f t="shared" si="3"/>
        <v>0.1985197530864185</v>
      </c>
    </row>
    <row r="24" spans="1:7" x14ac:dyDescent="0.3">
      <c r="A24" s="22"/>
      <c r="B24" s="3">
        <v>10</v>
      </c>
      <c r="C24" s="3">
        <v>25.36</v>
      </c>
      <c r="D24" s="3">
        <f t="shared" si="7"/>
        <v>25.325555555555557</v>
      </c>
      <c r="E24" s="3">
        <f t="shared" si="6"/>
        <v>3.4444444444442723E-2</v>
      </c>
      <c r="F24" s="3">
        <f t="shared" si="2"/>
        <v>3.4444444444442723E-2</v>
      </c>
      <c r="G24" s="3">
        <f t="shared" si="3"/>
        <v>1.1864197530863012E-3</v>
      </c>
    </row>
    <row r="25" spans="1:7" x14ac:dyDescent="0.3">
      <c r="A25" s="22"/>
      <c r="B25" s="3">
        <v>11</v>
      </c>
      <c r="C25" s="3">
        <v>25.44</v>
      </c>
      <c r="D25" s="3">
        <f t="shared" si="7"/>
        <v>25.316666666666666</v>
      </c>
      <c r="E25" s="3">
        <f t="shared" si="6"/>
        <v>0.12333333333333485</v>
      </c>
      <c r="F25" s="3">
        <f t="shared" si="2"/>
        <v>0.12333333333333485</v>
      </c>
      <c r="G25" s="3">
        <f t="shared" si="3"/>
        <v>1.5211111111111486E-2</v>
      </c>
    </row>
    <row r="26" spans="1:7" x14ac:dyDescent="0.3">
      <c r="A26" s="22"/>
      <c r="B26" s="3">
        <v>12</v>
      </c>
      <c r="C26" s="3">
        <v>25.71</v>
      </c>
      <c r="D26" s="3">
        <f t="shared" si="7"/>
        <v>25.286666666666665</v>
      </c>
      <c r="E26" s="3">
        <f t="shared" si="6"/>
        <v>0.42333333333333556</v>
      </c>
      <c r="F26" s="3">
        <f t="shared" si="2"/>
        <v>0.42333333333333556</v>
      </c>
      <c r="G26" s="3">
        <f t="shared" si="3"/>
        <v>0.17921111111111299</v>
      </c>
    </row>
    <row r="27" spans="1:7" x14ac:dyDescent="0.3">
      <c r="A27" s="22"/>
      <c r="B27" s="3">
        <v>16</v>
      </c>
      <c r="C27" s="3">
        <v>27.01</v>
      </c>
      <c r="D27" s="3">
        <f t="shared" si="7"/>
        <v>25.142222222222223</v>
      </c>
      <c r="E27" s="3">
        <f t="shared" si="6"/>
        <v>1.8677777777777784</v>
      </c>
      <c r="F27" s="3">
        <f t="shared" si="2"/>
        <v>1.8677777777777784</v>
      </c>
      <c r="G27" s="3">
        <f t="shared" si="3"/>
        <v>3.4885938271604964</v>
      </c>
    </row>
    <row r="28" spans="1:7" x14ac:dyDescent="0.3">
      <c r="A28" s="22"/>
      <c r="B28" s="3">
        <v>20</v>
      </c>
      <c r="C28" s="3">
        <v>25.66</v>
      </c>
      <c r="D28" s="3">
        <f t="shared" si="7"/>
        <v>25.292222222222222</v>
      </c>
      <c r="E28" s="3">
        <f t="shared" si="6"/>
        <v>0.36777777777777843</v>
      </c>
      <c r="F28" s="3">
        <f t="shared" si="2"/>
        <v>0.36777777777777843</v>
      </c>
      <c r="G28" s="3">
        <f t="shared" si="3"/>
        <v>0.13526049382716096</v>
      </c>
    </row>
    <row r="29" spans="1:7" x14ac:dyDescent="0.3">
      <c r="A29" s="22"/>
      <c r="B29" s="3">
        <v>0</v>
      </c>
      <c r="C29" s="3">
        <v>25.02</v>
      </c>
      <c r="D29" s="3">
        <f t="shared" si="7"/>
        <v>25.36333333333333</v>
      </c>
      <c r="E29" s="3">
        <f t="shared" si="6"/>
        <v>-0.34333333333333016</v>
      </c>
      <c r="F29" s="3">
        <f t="shared" si="2"/>
        <v>0.34333333333333016</v>
      </c>
      <c r="G29" s="3">
        <f t="shared" si="3"/>
        <v>0.1178777777777756</v>
      </c>
    </row>
    <row r="30" spans="1:7" x14ac:dyDescent="0.3">
      <c r="A30" s="22"/>
      <c r="B30" s="3" t="s">
        <v>312</v>
      </c>
      <c r="C30" s="3">
        <v>24.9</v>
      </c>
      <c r="D30" s="3">
        <f t="shared" si="7"/>
        <v>25.376666666666665</v>
      </c>
      <c r="E30" s="3">
        <f t="shared" si="6"/>
        <v>-0.47666666666666657</v>
      </c>
      <c r="F30" s="3">
        <f t="shared" si="2"/>
        <v>0.47666666666666657</v>
      </c>
      <c r="G30" s="3">
        <f t="shared" si="3"/>
        <v>0.22721111111111103</v>
      </c>
    </row>
    <row r="31" spans="1:7" x14ac:dyDescent="0.3">
      <c r="A31" s="23"/>
      <c r="B31" s="3" t="s">
        <v>313</v>
      </c>
      <c r="C31" s="3">
        <v>23.22</v>
      </c>
      <c r="D31" s="3">
        <f t="shared" si="7"/>
        <v>25.563333333333333</v>
      </c>
      <c r="E31" s="3">
        <f t="shared" si="6"/>
        <v>-2.3433333333333337</v>
      </c>
      <c r="F31" s="3">
        <f t="shared" si="2"/>
        <v>2.3433333333333337</v>
      </c>
      <c r="G31" s="3">
        <f t="shared" si="3"/>
        <v>5.491211111111113</v>
      </c>
    </row>
    <row r="32" spans="1:7" x14ac:dyDescent="0.3">
      <c r="A32" s="21" t="s">
        <v>309</v>
      </c>
      <c r="B32" s="3">
        <v>8</v>
      </c>
      <c r="C32" s="3">
        <v>24.94</v>
      </c>
      <c r="D32" s="3">
        <f>(SUM($C$32:$C$41)-C32)/(COUNT($C$32:$C$41)-1)</f>
        <v>25.164444444444442</v>
      </c>
      <c r="E32" s="3">
        <f t="shared" si="6"/>
        <v>-0.22444444444444045</v>
      </c>
      <c r="F32" s="3">
        <f t="shared" si="2"/>
        <v>0.22444444444444045</v>
      </c>
      <c r="G32" s="3">
        <f t="shared" si="3"/>
        <v>5.0375308641973517E-2</v>
      </c>
    </row>
    <row r="33" spans="1:7" x14ac:dyDescent="0.3">
      <c r="A33" s="22"/>
      <c r="B33" s="3">
        <v>9</v>
      </c>
      <c r="C33" s="3">
        <v>25.57</v>
      </c>
      <c r="D33" s="3">
        <f t="shared" ref="D33:D41" si="8">(SUM($C$32:$C$41)-C33)/(COUNT($C$32:$C$41)-1)</f>
        <v>25.094444444444445</v>
      </c>
      <c r="E33" s="3">
        <f t="shared" si="6"/>
        <v>0.47555555555555529</v>
      </c>
      <c r="F33" s="3">
        <f t="shared" si="2"/>
        <v>0.47555555555555529</v>
      </c>
      <c r="G33" s="3">
        <f t="shared" si="3"/>
        <v>0.22615308641975282</v>
      </c>
    </row>
    <row r="34" spans="1:7" x14ac:dyDescent="0.3">
      <c r="A34" s="22"/>
      <c r="B34" s="3">
        <v>10</v>
      </c>
      <c r="C34" s="3">
        <v>25.36</v>
      </c>
      <c r="D34" s="3">
        <f t="shared" si="8"/>
        <v>25.117777777777778</v>
      </c>
      <c r="E34" s="3">
        <f t="shared" si="6"/>
        <v>0.24222222222222101</v>
      </c>
      <c r="F34" s="3">
        <f t="shared" si="2"/>
        <v>0.24222222222222101</v>
      </c>
      <c r="G34" s="3">
        <f t="shared" si="3"/>
        <v>5.8671604938271019E-2</v>
      </c>
    </row>
    <row r="35" spans="1:7" x14ac:dyDescent="0.3">
      <c r="A35" s="22"/>
      <c r="B35" s="3">
        <v>11</v>
      </c>
      <c r="C35" s="3">
        <v>26.36</v>
      </c>
      <c r="D35" s="3">
        <f t="shared" si="8"/>
        <v>25.006666666666668</v>
      </c>
      <c r="E35" s="3">
        <f t="shared" si="6"/>
        <v>1.3533333333333317</v>
      </c>
      <c r="F35" s="3">
        <f t="shared" si="2"/>
        <v>1.3533333333333317</v>
      </c>
      <c r="G35" s="3">
        <f t="shared" si="3"/>
        <v>1.8315111111111066</v>
      </c>
    </row>
    <row r="36" spans="1:7" x14ac:dyDescent="0.3">
      <c r="A36" s="22"/>
      <c r="B36" s="3">
        <v>12</v>
      </c>
      <c r="C36" s="3">
        <v>25.99</v>
      </c>
      <c r="D36" s="3">
        <f t="shared" si="8"/>
        <v>25.047777777777775</v>
      </c>
      <c r="E36" s="3">
        <f t="shared" si="6"/>
        <v>0.94222222222222385</v>
      </c>
      <c r="F36" s="3">
        <f t="shared" si="2"/>
        <v>0.94222222222222385</v>
      </c>
      <c r="G36" s="3">
        <f t="shared" si="3"/>
        <v>0.88778271604938575</v>
      </c>
    </row>
    <row r="37" spans="1:7" x14ac:dyDescent="0.3">
      <c r="A37" s="22"/>
      <c r="B37" s="3">
        <v>16</v>
      </c>
      <c r="C37" s="3">
        <v>26.03</v>
      </c>
      <c r="D37" s="3">
        <f t="shared" si="8"/>
        <v>25.043333333333333</v>
      </c>
      <c r="E37" s="3">
        <f t="shared" si="6"/>
        <v>0.98666666666666814</v>
      </c>
      <c r="F37" s="3">
        <f t="shared" si="2"/>
        <v>0.98666666666666814</v>
      </c>
      <c r="G37" s="3">
        <f t="shared" si="3"/>
        <v>0.97351111111111399</v>
      </c>
    </row>
    <row r="38" spans="1:7" x14ac:dyDescent="0.3">
      <c r="A38" s="22"/>
      <c r="B38" s="3">
        <v>20</v>
      </c>
      <c r="C38" s="3">
        <v>25.06</v>
      </c>
      <c r="D38" s="3">
        <f t="shared" si="8"/>
        <v>25.15111111111111</v>
      </c>
      <c r="E38" s="3">
        <f t="shared" si="6"/>
        <v>-9.1111111111111143E-2</v>
      </c>
      <c r="F38" s="3">
        <f t="shared" si="2"/>
        <v>9.1111111111111143E-2</v>
      </c>
      <c r="G38" s="3">
        <f t="shared" si="3"/>
        <v>8.301234567901241E-3</v>
      </c>
    </row>
    <row r="39" spans="1:7" x14ac:dyDescent="0.3">
      <c r="A39" s="22"/>
      <c r="B39" s="3">
        <v>0</v>
      </c>
      <c r="C39" s="3">
        <v>24.73</v>
      </c>
      <c r="D39" s="3">
        <f t="shared" si="8"/>
        <v>25.187777777777779</v>
      </c>
      <c r="E39" s="3">
        <f t="shared" si="6"/>
        <v>-0.45777777777777828</v>
      </c>
      <c r="F39" s="3">
        <f t="shared" si="2"/>
        <v>0.45777777777777828</v>
      </c>
      <c r="G39" s="3">
        <f t="shared" si="3"/>
        <v>0.20956049382716097</v>
      </c>
    </row>
    <row r="40" spans="1:7" x14ac:dyDescent="0.3">
      <c r="A40" s="22"/>
      <c r="B40" s="3" t="s">
        <v>312</v>
      </c>
      <c r="C40" s="3">
        <v>24.2</v>
      </c>
      <c r="D40" s="3">
        <f t="shared" si="8"/>
        <v>25.246666666666666</v>
      </c>
      <c r="E40" s="3">
        <f t="shared" si="6"/>
        <v>-1.0466666666666669</v>
      </c>
      <c r="F40" s="3">
        <f t="shared" si="2"/>
        <v>1.0466666666666669</v>
      </c>
      <c r="G40" s="3">
        <f t="shared" si="3"/>
        <v>1.0955111111111115</v>
      </c>
    </row>
    <row r="41" spans="1:7" x14ac:dyDescent="0.3">
      <c r="A41" s="23"/>
      <c r="B41" s="3" t="s">
        <v>313</v>
      </c>
      <c r="C41" s="3">
        <v>23.18</v>
      </c>
      <c r="D41" s="3">
        <f t="shared" si="8"/>
        <v>25.36</v>
      </c>
      <c r="E41" s="3">
        <f t="shared" si="6"/>
        <v>-2.1799999999999997</v>
      </c>
      <c r="F41" s="3">
        <f t="shared" si="2"/>
        <v>2.1799999999999997</v>
      </c>
      <c r="G41" s="3">
        <f t="shared" si="3"/>
        <v>4.7523999999999988</v>
      </c>
    </row>
    <row r="42" spans="1:7" x14ac:dyDescent="0.3">
      <c r="A42" s="21" t="s">
        <v>310</v>
      </c>
      <c r="B42" s="3">
        <v>8</v>
      </c>
      <c r="C42" s="3">
        <v>24.89</v>
      </c>
      <c r="D42" s="3">
        <f>(SUM($C$42:$C$51)-C42)/(COUNT($C$42:$C$51)-1)</f>
        <v>23.099999999999998</v>
      </c>
      <c r="E42" s="3">
        <f t="shared" si="6"/>
        <v>1.7900000000000027</v>
      </c>
      <c r="F42" s="3">
        <f t="shared" si="2"/>
        <v>1.7900000000000027</v>
      </c>
      <c r="G42" s="3">
        <f t="shared" si="3"/>
        <v>3.2041000000000097</v>
      </c>
    </row>
    <row r="43" spans="1:7" x14ac:dyDescent="0.3">
      <c r="A43" s="22"/>
      <c r="B43" s="3">
        <v>9</v>
      </c>
      <c r="C43" s="3">
        <v>24.84</v>
      </c>
      <c r="D43" s="3">
        <f t="shared" ref="D43:D51" si="9">(SUM($C$42:$C$51)-C43)/(COUNT($C$42:$C$51)-1)</f>
        <v>23.105555555555554</v>
      </c>
      <c r="E43" s="3">
        <f t="shared" si="6"/>
        <v>1.7344444444444456</v>
      </c>
      <c r="F43" s="3">
        <f t="shared" si="2"/>
        <v>1.7344444444444456</v>
      </c>
      <c r="G43" s="3">
        <f t="shared" si="3"/>
        <v>3.0082975308642013</v>
      </c>
    </row>
    <row r="44" spans="1:7" x14ac:dyDescent="0.3">
      <c r="A44" s="22"/>
      <c r="B44" s="3">
        <v>10</v>
      </c>
      <c r="C44" s="3">
        <v>24.5</v>
      </c>
      <c r="D44" s="3">
        <f t="shared" si="9"/>
        <v>23.143333333333331</v>
      </c>
      <c r="E44" s="3">
        <f t="shared" si="6"/>
        <v>1.3566666666666691</v>
      </c>
      <c r="F44" s="3">
        <f t="shared" si="2"/>
        <v>1.3566666666666691</v>
      </c>
      <c r="G44" s="3">
        <f t="shared" si="3"/>
        <v>1.8405444444444512</v>
      </c>
    </row>
    <row r="45" spans="1:7" x14ac:dyDescent="0.3">
      <c r="A45" s="22"/>
      <c r="B45" s="3">
        <v>11</v>
      </c>
      <c r="C45" s="3">
        <v>25.13</v>
      </c>
      <c r="D45" s="3">
        <f t="shared" si="9"/>
        <v>23.073333333333334</v>
      </c>
      <c r="E45" s="3">
        <f t="shared" si="6"/>
        <v>2.0566666666666649</v>
      </c>
      <c r="F45" s="3">
        <f t="shared" si="2"/>
        <v>2.0566666666666649</v>
      </c>
      <c r="G45" s="3">
        <f t="shared" si="3"/>
        <v>4.2298777777777703</v>
      </c>
    </row>
    <row r="46" spans="1:7" x14ac:dyDescent="0.3">
      <c r="A46" s="22"/>
      <c r="B46" s="3">
        <v>12</v>
      </c>
      <c r="C46" s="3">
        <v>25.61</v>
      </c>
      <c r="D46" s="3">
        <f t="shared" si="9"/>
        <v>23.02</v>
      </c>
      <c r="E46" s="3">
        <f t="shared" si="6"/>
        <v>2.59</v>
      </c>
      <c r="F46" s="3">
        <f t="shared" si="2"/>
        <v>2.59</v>
      </c>
      <c r="G46" s="3">
        <f t="shared" si="3"/>
        <v>6.7080999999999991</v>
      </c>
    </row>
    <row r="47" spans="1:7" x14ac:dyDescent="0.3">
      <c r="A47" s="22"/>
      <c r="B47" s="3">
        <v>16</v>
      </c>
      <c r="C47" s="3">
        <v>26.26</v>
      </c>
      <c r="D47" s="3">
        <f t="shared" si="9"/>
        <v>22.947777777777777</v>
      </c>
      <c r="E47" s="3">
        <f t="shared" si="6"/>
        <v>3.3122222222222248</v>
      </c>
      <c r="F47" s="3">
        <f t="shared" si="2"/>
        <v>3.3122222222222248</v>
      </c>
      <c r="G47" s="3">
        <f t="shared" si="3"/>
        <v>10.970816049382734</v>
      </c>
    </row>
    <row r="48" spans="1:7" x14ac:dyDescent="0.3">
      <c r="A48" s="22"/>
      <c r="B48" s="3">
        <v>20</v>
      </c>
      <c r="C48" s="3">
        <v>25.18</v>
      </c>
      <c r="D48" s="3">
        <f t="shared" si="9"/>
        <v>23.067777777777778</v>
      </c>
      <c r="E48" s="3">
        <f t="shared" si="6"/>
        <v>2.112222222222222</v>
      </c>
      <c r="F48" s="3">
        <f t="shared" si="2"/>
        <v>2.112222222222222</v>
      </c>
      <c r="G48" s="3">
        <f t="shared" si="3"/>
        <v>4.4614827160493817</v>
      </c>
    </row>
    <row r="49" spans="1:7" x14ac:dyDescent="0.3">
      <c r="A49" s="22"/>
      <c r="B49" s="3">
        <v>0</v>
      </c>
      <c r="C49" s="3">
        <v>24.57</v>
      </c>
      <c r="D49" s="3">
        <f t="shared" si="9"/>
        <v>23.135555555555555</v>
      </c>
      <c r="E49" s="3">
        <f t="shared" si="6"/>
        <v>1.4344444444444449</v>
      </c>
      <c r="F49" s="3">
        <f t="shared" si="2"/>
        <v>1.4344444444444449</v>
      </c>
      <c r="G49" s="3">
        <f t="shared" si="3"/>
        <v>2.0576308641975318</v>
      </c>
    </row>
    <row r="50" spans="1:7" x14ac:dyDescent="0.3">
      <c r="A50" s="22"/>
      <c r="B50" s="3" t="s">
        <v>312</v>
      </c>
      <c r="C50" s="3">
        <v>8.7799999999999994</v>
      </c>
      <c r="D50" s="3">
        <f t="shared" si="9"/>
        <v>24.89</v>
      </c>
      <c r="E50" s="3">
        <f t="shared" si="6"/>
        <v>-16.11</v>
      </c>
      <c r="F50" s="3">
        <f t="shared" si="2"/>
        <v>16.11</v>
      </c>
      <c r="G50" s="3">
        <f t="shared" si="3"/>
        <v>259.53209999999996</v>
      </c>
    </row>
    <row r="51" spans="1:7" x14ac:dyDescent="0.3">
      <c r="A51" s="23"/>
      <c r="B51" s="3" t="s">
        <v>313</v>
      </c>
      <c r="C51" s="3">
        <v>23.03</v>
      </c>
      <c r="D51" s="3">
        <f t="shared" si="9"/>
        <v>23.306666666666665</v>
      </c>
      <c r="E51" s="3">
        <f t="shared" si="6"/>
        <v>-0.27666666666666373</v>
      </c>
      <c r="F51" s="3">
        <f t="shared" si="2"/>
        <v>0.27666666666666373</v>
      </c>
      <c r="G51" s="3">
        <f t="shared" si="3"/>
        <v>7.6544444444442819E-2</v>
      </c>
    </row>
    <row r="52" spans="1:7" x14ac:dyDescent="0.3">
      <c r="C52" s="4"/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EC49-08BA-41B8-AC8C-63D6CD73213E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33203125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302</v>
      </c>
      <c r="D1" s="10" t="s">
        <v>321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5">
        <v>6.04</v>
      </c>
      <c r="D2" s="3">
        <f>(SUM($C$2:$C$11)-C2)/(COUNT($C$2:$C$11)-1)</f>
        <v>7.0244444444444447</v>
      </c>
      <c r="E2" s="3">
        <f>C2-D2</f>
        <v>-0.98444444444444468</v>
      </c>
      <c r="F2" s="3">
        <f>ABS(E2)</f>
        <v>0.98444444444444468</v>
      </c>
      <c r="G2" s="3">
        <f>E2^2</f>
        <v>0.96913086419753136</v>
      </c>
    </row>
    <row r="3" spans="1:15" x14ac:dyDescent="0.3">
      <c r="A3" s="22"/>
      <c r="B3" s="3">
        <v>9</v>
      </c>
      <c r="C3" s="5">
        <v>13.06</v>
      </c>
      <c r="D3" s="3">
        <f t="shared" ref="D3:D11" si="0">(SUM($C$2:$C$11)-C3)/(COUNT($C$2:$C$11)-1)</f>
        <v>6.2444444444444445</v>
      </c>
      <c r="E3" s="3">
        <f t="shared" ref="E3:E11" si="1">C3-D3</f>
        <v>6.815555555555556</v>
      </c>
      <c r="F3" s="3">
        <f t="shared" ref="F3:F51" si="2">ABS(E3)</f>
        <v>6.815555555555556</v>
      </c>
      <c r="G3" s="3">
        <f t="shared" ref="G3:G51" si="3">E3^2</f>
        <v>46.451797530864205</v>
      </c>
    </row>
    <row r="4" spans="1:15" x14ac:dyDescent="0.3">
      <c r="A4" s="22"/>
      <c r="B4" s="3">
        <v>10</v>
      </c>
      <c r="C4" s="5">
        <v>6.26</v>
      </c>
      <c r="D4" s="3">
        <f t="shared" si="0"/>
        <v>7.0000000000000009</v>
      </c>
      <c r="E4" s="3">
        <f t="shared" si="1"/>
        <v>-0.7400000000000011</v>
      </c>
      <c r="F4" s="3">
        <f t="shared" si="2"/>
        <v>0.7400000000000011</v>
      </c>
      <c r="G4" s="3">
        <f t="shared" si="3"/>
        <v>0.54760000000000164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5">
        <v>6.01</v>
      </c>
      <c r="D5" s="3">
        <f t="shared" si="0"/>
        <v>7.0277777777777786</v>
      </c>
      <c r="E5" s="3">
        <f t="shared" si="1"/>
        <v>-1.0177777777777788</v>
      </c>
      <c r="F5" s="3">
        <f t="shared" si="2"/>
        <v>1.0177777777777788</v>
      </c>
      <c r="G5" s="3">
        <f t="shared" si="3"/>
        <v>1.0358716049382737</v>
      </c>
      <c r="J5" s="2" t="s">
        <v>297</v>
      </c>
      <c r="K5" s="3">
        <f>AVERAGE(E6:E11)</f>
        <v>-0.67888888888888921</v>
      </c>
      <c r="L5" s="3">
        <f>AVERAGE(F6:F11)</f>
        <v>0.67888888888888921</v>
      </c>
      <c r="M5" s="3">
        <f>AVERAGE(G6:G11)</f>
        <v>0.54034485596707871</v>
      </c>
      <c r="N5" s="3">
        <f>SQRT(M5)</f>
        <v>0.73508153014960098</v>
      </c>
      <c r="O5" s="3">
        <f>N5/AVERAGE(C6:C11)*100</f>
        <v>11.640245924775945</v>
      </c>
    </row>
    <row r="6" spans="1:15" x14ac:dyDescent="0.3">
      <c r="A6" s="22"/>
      <c r="B6" s="3">
        <v>12</v>
      </c>
      <c r="C6" s="5">
        <v>6.1</v>
      </c>
      <c r="D6" s="3">
        <f t="shared" si="0"/>
        <v>7.0177777777777779</v>
      </c>
      <c r="E6" s="3">
        <f t="shared" si="1"/>
        <v>-0.91777777777777825</v>
      </c>
      <c r="F6" s="3">
        <f t="shared" si="2"/>
        <v>0.91777777777777825</v>
      </c>
      <c r="G6" s="3">
        <f t="shared" si="3"/>
        <v>0.84231604938271687</v>
      </c>
      <c r="J6" s="2">
        <v>33</v>
      </c>
      <c r="K6" s="3">
        <f>AVERAGE(E16:E21)</f>
        <v>0.14888888888888849</v>
      </c>
      <c r="L6" s="3">
        <f>AVERAGE(F16:F21)</f>
        <v>1.5481481481481481</v>
      </c>
      <c r="M6" s="3">
        <f>AVERAGE(G16:G21)</f>
        <v>3.3277646090534971</v>
      </c>
      <c r="N6" s="3">
        <f t="shared" ref="N6:N9" si="4">SQRT(M6)</f>
        <v>1.8242161629186102</v>
      </c>
      <c r="O6" s="3">
        <f>N6/AVERAGE(C16:C21)*100</f>
        <v>13.048756530176039</v>
      </c>
    </row>
    <row r="7" spans="1:15" x14ac:dyDescent="0.3">
      <c r="A7" s="22"/>
      <c r="B7" s="3">
        <v>16</v>
      </c>
      <c r="C7" s="2">
        <v>5.95</v>
      </c>
      <c r="D7" s="3">
        <f t="shared" si="0"/>
        <v>7.0344444444444445</v>
      </c>
      <c r="E7" s="3">
        <f t="shared" si="1"/>
        <v>-1.0844444444444443</v>
      </c>
      <c r="F7" s="3">
        <f t="shared" si="2"/>
        <v>1.0844444444444443</v>
      </c>
      <c r="G7" s="3">
        <f t="shared" si="3"/>
        <v>1.1760197530864196</v>
      </c>
      <c r="J7" s="2">
        <v>46</v>
      </c>
      <c r="K7" s="3">
        <f>AVERAGE(E26:E31)</f>
        <v>-5.2962962962962955E-2</v>
      </c>
      <c r="L7" s="3">
        <f>AVERAGE(F26:F31)</f>
        <v>1.2625925925925927</v>
      </c>
      <c r="M7" s="3">
        <f>AVERAGE(G26:G31)</f>
        <v>2.8073489711934165</v>
      </c>
      <c r="N7" s="3">
        <f t="shared" si="4"/>
        <v>1.6755145392366539</v>
      </c>
      <c r="O7" s="3">
        <f>N7/AVERAGE(C26:C31)*100</f>
        <v>12.63744467054673</v>
      </c>
    </row>
    <row r="8" spans="1:15" x14ac:dyDescent="0.3">
      <c r="A8" s="22"/>
      <c r="B8" s="3">
        <v>20</v>
      </c>
      <c r="C8" s="2">
        <v>6.31</v>
      </c>
      <c r="D8" s="3">
        <f t="shared" si="0"/>
        <v>6.9944444444444445</v>
      </c>
      <c r="E8" s="3">
        <f t="shared" si="1"/>
        <v>-0.68444444444444485</v>
      </c>
      <c r="F8" s="3">
        <f t="shared" si="2"/>
        <v>0.68444444444444485</v>
      </c>
      <c r="G8" s="3">
        <f t="shared" si="3"/>
        <v>0.46846419753086477</v>
      </c>
      <c r="J8" s="2" t="s">
        <v>309</v>
      </c>
      <c r="K8" s="3">
        <f>AVERAGE(E36:E41)</f>
        <v>-7.1481481481480216E-2</v>
      </c>
      <c r="L8" s="3">
        <f>AVERAGE(F36:F41)</f>
        <v>1.3907407407407408</v>
      </c>
      <c r="M8" s="3">
        <f>AVERAGE(G36:G41)</f>
        <v>3.3092008230452663</v>
      </c>
      <c r="N8" s="3">
        <f t="shared" si="4"/>
        <v>1.8191208929164842</v>
      </c>
      <c r="O8" s="3">
        <f>N8/AVERAGE(C36:C41)*100</f>
        <v>12.475397596866964</v>
      </c>
    </row>
    <row r="9" spans="1:15" x14ac:dyDescent="0.3">
      <c r="A9" s="22"/>
      <c r="B9" s="3">
        <v>0</v>
      </c>
      <c r="C9" s="2">
        <v>6.73</v>
      </c>
      <c r="D9" s="3">
        <f t="shared" si="0"/>
        <v>6.9477777777777776</v>
      </c>
      <c r="E9" s="3">
        <f t="shared" si="1"/>
        <v>-0.21777777777777718</v>
      </c>
      <c r="F9" s="3">
        <f t="shared" si="2"/>
        <v>0.21777777777777718</v>
      </c>
      <c r="G9" s="3">
        <f t="shared" si="3"/>
        <v>4.7427160493826899E-2</v>
      </c>
      <c r="J9" s="2" t="s">
        <v>310</v>
      </c>
      <c r="K9" s="3">
        <f>AVERAGE(E46:E51)</f>
        <v>-0.26555555555555471</v>
      </c>
      <c r="L9" s="3">
        <f>AVERAGE(F46:F51)</f>
        <v>1.3774074074074074</v>
      </c>
      <c r="M9" s="3">
        <f>AVERAGE(G46:G51)</f>
        <v>2.8208386831275725</v>
      </c>
      <c r="N9" s="3">
        <f t="shared" si="4"/>
        <v>1.6795352580781304</v>
      </c>
      <c r="O9" s="3">
        <f>N9/AVERAGE(C46:C51)*100</f>
        <v>12.113489059344612</v>
      </c>
    </row>
    <row r="10" spans="1:15" x14ac:dyDescent="0.3">
      <c r="A10" s="22"/>
      <c r="B10" s="3" t="s">
        <v>312</v>
      </c>
      <c r="C10" s="7">
        <v>6.3</v>
      </c>
      <c r="D10" s="3">
        <f t="shared" si="0"/>
        <v>6.9955555555555566</v>
      </c>
      <c r="E10" s="3">
        <f t="shared" si="1"/>
        <v>-0.69555555555555681</v>
      </c>
      <c r="F10" s="3">
        <f t="shared" si="2"/>
        <v>0.69555555555555681</v>
      </c>
      <c r="G10" s="3">
        <f t="shared" si="3"/>
        <v>0.4837975308641993</v>
      </c>
    </row>
    <row r="11" spans="1:15" x14ac:dyDescent="0.3">
      <c r="A11" s="23"/>
      <c r="B11" s="3" t="s">
        <v>313</v>
      </c>
      <c r="C11" s="7">
        <v>6.5</v>
      </c>
      <c r="D11" s="3">
        <f t="shared" si="0"/>
        <v>6.9733333333333336</v>
      </c>
      <c r="E11" s="3">
        <f t="shared" si="1"/>
        <v>-0.47333333333333361</v>
      </c>
      <c r="F11" s="3">
        <f t="shared" si="2"/>
        <v>0.47333333333333361</v>
      </c>
      <c r="G11" s="3">
        <f t="shared" si="3"/>
        <v>0.22404444444444471</v>
      </c>
    </row>
    <row r="12" spans="1:15" x14ac:dyDescent="0.3">
      <c r="A12" s="21">
        <v>33</v>
      </c>
      <c r="B12" s="9">
        <v>8</v>
      </c>
      <c r="C12" s="5">
        <v>11.17</v>
      </c>
      <c r="D12" s="3">
        <f>(SUM($C$12:$C$21)-C12)/(COUNT($C$12:$C$21)-1)</f>
        <v>14.143333333333334</v>
      </c>
      <c r="E12" s="3">
        <f>C12-D12</f>
        <v>-2.9733333333333345</v>
      </c>
      <c r="F12" s="3">
        <f t="shared" si="2"/>
        <v>2.9733333333333345</v>
      </c>
      <c r="G12" s="3">
        <f t="shared" si="3"/>
        <v>8.8407111111111174</v>
      </c>
    </row>
    <row r="13" spans="1:15" x14ac:dyDescent="0.3">
      <c r="A13" s="22"/>
      <c r="B13" s="3">
        <v>9</v>
      </c>
      <c r="C13" s="5">
        <v>14.17</v>
      </c>
      <c r="D13" s="3">
        <f t="shared" ref="D13:D21" si="5">(SUM($C$12:$C$21)-C13)/(COUNT($C$12:$C$21)-1)</f>
        <v>13.81</v>
      </c>
      <c r="E13" s="3">
        <f t="shared" ref="E13:E51" si="6">C13-D13</f>
        <v>0.35999999999999943</v>
      </c>
      <c r="F13" s="3">
        <f t="shared" si="2"/>
        <v>0.35999999999999943</v>
      </c>
      <c r="G13" s="3">
        <f t="shared" si="3"/>
        <v>0.1295999999999996</v>
      </c>
    </row>
    <row r="14" spans="1:15" x14ac:dyDescent="0.3">
      <c r="A14" s="22"/>
      <c r="B14" s="3">
        <v>10</v>
      </c>
      <c r="C14" s="5">
        <v>14.52</v>
      </c>
      <c r="D14" s="3">
        <f t="shared" si="5"/>
        <v>13.771111111111113</v>
      </c>
      <c r="E14" s="3">
        <f t="shared" si="6"/>
        <v>0.74888888888888694</v>
      </c>
      <c r="F14" s="3">
        <f t="shared" si="2"/>
        <v>0.74888888888888694</v>
      </c>
      <c r="G14" s="3">
        <f t="shared" si="3"/>
        <v>0.56083456790123165</v>
      </c>
    </row>
    <row r="15" spans="1:15" x14ac:dyDescent="0.3">
      <c r="A15" s="22"/>
      <c r="B15" s="3">
        <v>11</v>
      </c>
      <c r="C15" s="5">
        <v>14.72</v>
      </c>
      <c r="D15" s="3">
        <f t="shared" si="5"/>
        <v>13.74888888888889</v>
      </c>
      <c r="E15" s="3">
        <f t="shared" si="6"/>
        <v>0.97111111111111015</v>
      </c>
      <c r="F15" s="3">
        <f t="shared" si="2"/>
        <v>0.97111111111111015</v>
      </c>
      <c r="G15" s="3">
        <f t="shared" si="3"/>
        <v>0.94305679012345489</v>
      </c>
    </row>
    <row r="16" spans="1:15" x14ac:dyDescent="0.3">
      <c r="A16" s="22"/>
      <c r="B16" s="3">
        <v>12</v>
      </c>
      <c r="C16" s="5">
        <v>14.89</v>
      </c>
      <c r="D16" s="3">
        <f t="shared" si="5"/>
        <v>13.73</v>
      </c>
      <c r="E16" s="3">
        <f t="shared" si="6"/>
        <v>1.1600000000000001</v>
      </c>
      <c r="F16" s="3">
        <f t="shared" si="2"/>
        <v>1.1600000000000001</v>
      </c>
      <c r="G16" s="3">
        <f t="shared" si="3"/>
        <v>1.3456000000000004</v>
      </c>
    </row>
    <row r="17" spans="1:7" x14ac:dyDescent="0.3">
      <c r="A17" s="22"/>
      <c r="B17" s="3">
        <v>16</v>
      </c>
      <c r="C17" s="5">
        <v>15.71</v>
      </c>
      <c r="D17" s="3">
        <f t="shared" si="5"/>
        <v>13.638888888888889</v>
      </c>
      <c r="E17" s="3">
        <f t="shared" si="6"/>
        <v>2.0711111111111116</v>
      </c>
      <c r="F17" s="3">
        <f t="shared" si="2"/>
        <v>2.0711111111111116</v>
      </c>
      <c r="G17" s="3">
        <f t="shared" si="3"/>
        <v>4.2895012345679033</v>
      </c>
    </row>
    <row r="18" spans="1:7" x14ac:dyDescent="0.3">
      <c r="A18" s="22"/>
      <c r="B18" s="3">
        <v>20</v>
      </c>
      <c r="C18" s="5">
        <v>15.52</v>
      </c>
      <c r="D18" s="3">
        <f t="shared" si="5"/>
        <v>13.660000000000002</v>
      </c>
      <c r="E18" s="3">
        <f t="shared" si="6"/>
        <v>1.8599999999999977</v>
      </c>
      <c r="F18" s="3">
        <f t="shared" si="2"/>
        <v>1.8599999999999977</v>
      </c>
      <c r="G18" s="3">
        <f t="shared" si="3"/>
        <v>3.4595999999999911</v>
      </c>
    </row>
    <row r="19" spans="1:7" x14ac:dyDescent="0.3">
      <c r="A19" s="22"/>
      <c r="B19" s="3">
        <v>0</v>
      </c>
      <c r="C19" s="5">
        <v>13.72</v>
      </c>
      <c r="D19" s="3">
        <f t="shared" si="5"/>
        <v>13.860000000000001</v>
      </c>
      <c r="E19" s="3">
        <f t="shared" si="6"/>
        <v>-0.14000000000000057</v>
      </c>
      <c r="F19" s="3">
        <f t="shared" si="2"/>
        <v>0.14000000000000057</v>
      </c>
      <c r="G19" s="3">
        <f t="shared" si="3"/>
        <v>1.9600000000000159E-2</v>
      </c>
    </row>
    <row r="20" spans="1:7" x14ac:dyDescent="0.3">
      <c r="A20" s="22"/>
      <c r="B20" s="3" t="s">
        <v>312</v>
      </c>
      <c r="C20" s="7">
        <v>13.05</v>
      </c>
      <c r="D20" s="3">
        <f t="shared" si="5"/>
        <v>13.934444444444445</v>
      </c>
      <c r="E20" s="3">
        <f t="shared" si="6"/>
        <v>-0.88444444444444414</v>
      </c>
      <c r="F20" s="3">
        <f t="shared" si="2"/>
        <v>0.88444444444444414</v>
      </c>
      <c r="G20" s="3">
        <f t="shared" si="3"/>
        <v>0.78224197530864148</v>
      </c>
    </row>
    <row r="21" spans="1:7" x14ac:dyDescent="0.3">
      <c r="A21" s="23"/>
      <c r="B21" s="3" t="s">
        <v>313</v>
      </c>
      <c r="C21" s="7">
        <v>10.99</v>
      </c>
      <c r="D21" s="3">
        <f t="shared" si="5"/>
        <v>14.163333333333334</v>
      </c>
      <c r="E21" s="3">
        <f t="shared" si="6"/>
        <v>-3.1733333333333338</v>
      </c>
      <c r="F21" s="3">
        <f t="shared" si="2"/>
        <v>3.1733333333333338</v>
      </c>
      <c r="G21" s="3">
        <f t="shared" si="3"/>
        <v>10.070044444444447</v>
      </c>
    </row>
    <row r="22" spans="1:7" x14ac:dyDescent="0.3">
      <c r="A22" s="21">
        <v>46</v>
      </c>
      <c r="B22" s="9">
        <v>8</v>
      </c>
      <c r="C22" s="2">
        <v>12.55</v>
      </c>
      <c r="D22" s="3">
        <f>(SUM($C$22:$C$31)-C22)/(COUNT($C$22:$C$31)-1)</f>
        <v>13.39</v>
      </c>
      <c r="E22" s="3">
        <f t="shared" si="6"/>
        <v>-0.83999999999999986</v>
      </c>
      <c r="F22" s="3">
        <f t="shared" si="2"/>
        <v>0.83999999999999986</v>
      </c>
      <c r="G22" s="3">
        <f t="shared" si="3"/>
        <v>0.70559999999999978</v>
      </c>
    </row>
    <row r="23" spans="1:7" x14ac:dyDescent="0.3">
      <c r="A23" s="22"/>
      <c r="B23" s="3">
        <v>9</v>
      </c>
      <c r="C23" s="2">
        <v>12.7</v>
      </c>
      <c r="D23" s="3">
        <f t="shared" ref="D23:D31" si="7">(SUM($C$22:$C$31)-C23)/(COUNT($C$22:$C$31)-1)</f>
        <v>13.373333333333333</v>
      </c>
      <c r="E23" s="3">
        <f t="shared" si="6"/>
        <v>-0.67333333333333378</v>
      </c>
      <c r="F23" s="3">
        <f t="shared" si="2"/>
        <v>0.67333333333333378</v>
      </c>
      <c r="G23" s="3">
        <f t="shared" si="3"/>
        <v>0.45337777777777838</v>
      </c>
    </row>
    <row r="24" spans="1:7" x14ac:dyDescent="0.3">
      <c r="A24" s="22"/>
      <c r="B24" s="3">
        <v>10</v>
      </c>
      <c r="C24" s="2">
        <v>13.97</v>
      </c>
      <c r="D24" s="3">
        <f t="shared" si="7"/>
        <v>13.232222222222223</v>
      </c>
      <c r="E24" s="3">
        <f t="shared" si="6"/>
        <v>0.73777777777777764</v>
      </c>
      <c r="F24" s="3">
        <f t="shared" si="2"/>
        <v>0.73777777777777764</v>
      </c>
      <c r="G24" s="3">
        <f t="shared" si="3"/>
        <v>0.54431604938271583</v>
      </c>
    </row>
    <row r="25" spans="1:7" x14ac:dyDescent="0.3">
      <c r="A25" s="22"/>
      <c r="B25" s="3">
        <v>11</v>
      </c>
      <c r="C25" s="2">
        <v>14.29</v>
      </c>
      <c r="D25" s="3">
        <f t="shared" si="7"/>
        <v>13.196666666666667</v>
      </c>
      <c r="E25" s="3">
        <f t="shared" si="6"/>
        <v>1.0933333333333319</v>
      </c>
      <c r="F25" s="3">
        <f t="shared" si="2"/>
        <v>1.0933333333333319</v>
      </c>
      <c r="G25" s="3">
        <f t="shared" si="3"/>
        <v>1.1953777777777748</v>
      </c>
    </row>
    <row r="26" spans="1:7" x14ac:dyDescent="0.3">
      <c r="A26" s="22"/>
      <c r="B26" s="3">
        <v>12</v>
      </c>
      <c r="C26" s="5">
        <v>14.11</v>
      </c>
      <c r="D26" s="3">
        <f t="shared" si="7"/>
        <v>13.216666666666667</v>
      </c>
      <c r="E26" s="3">
        <f t="shared" si="6"/>
        <v>0.89333333333333265</v>
      </c>
      <c r="F26" s="3">
        <f t="shared" si="2"/>
        <v>0.89333333333333265</v>
      </c>
      <c r="G26" s="3">
        <f t="shared" si="3"/>
        <v>0.79804444444444322</v>
      </c>
    </row>
    <row r="27" spans="1:7" x14ac:dyDescent="0.3">
      <c r="A27" s="22"/>
      <c r="B27" s="3">
        <v>16</v>
      </c>
      <c r="C27" s="2">
        <v>13.99</v>
      </c>
      <c r="D27" s="3">
        <f t="shared" si="7"/>
        <v>13.23</v>
      </c>
      <c r="E27" s="3">
        <f t="shared" si="6"/>
        <v>0.75999999999999979</v>
      </c>
      <c r="F27" s="3">
        <f t="shared" si="2"/>
        <v>0.75999999999999979</v>
      </c>
      <c r="G27" s="3">
        <f t="shared" si="3"/>
        <v>0.57759999999999967</v>
      </c>
    </row>
    <row r="28" spans="1:7" x14ac:dyDescent="0.3">
      <c r="A28" s="22"/>
      <c r="B28" s="3">
        <v>20</v>
      </c>
      <c r="C28" s="2">
        <v>14.46</v>
      </c>
      <c r="D28" s="3">
        <f t="shared" si="7"/>
        <v>13.177777777777777</v>
      </c>
      <c r="E28" s="3">
        <f t="shared" si="6"/>
        <v>1.2822222222222237</v>
      </c>
      <c r="F28" s="3">
        <f t="shared" si="2"/>
        <v>1.2822222222222237</v>
      </c>
      <c r="G28" s="3">
        <f t="shared" si="3"/>
        <v>1.6440938271604977</v>
      </c>
    </row>
    <row r="29" spans="1:7" x14ac:dyDescent="0.3">
      <c r="A29" s="22"/>
      <c r="B29" s="3">
        <v>0</v>
      </c>
      <c r="C29" s="5">
        <v>13.93</v>
      </c>
      <c r="D29" s="3">
        <f t="shared" si="7"/>
        <v>13.236666666666666</v>
      </c>
      <c r="E29" s="3">
        <f t="shared" si="6"/>
        <v>0.69333333333333336</v>
      </c>
      <c r="F29" s="3">
        <f t="shared" si="2"/>
        <v>0.69333333333333336</v>
      </c>
      <c r="G29" s="3">
        <f t="shared" si="3"/>
        <v>0.48071111111111114</v>
      </c>
    </row>
    <row r="30" spans="1:7" x14ac:dyDescent="0.3">
      <c r="A30" s="22"/>
      <c r="B30" s="3" t="s">
        <v>312</v>
      </c>
      <c r="C30" s="7">
        <v>13.03</v>
      </c>
      <c r="D30" s="3">
        <f t="shared" si="7"/>
        <v>13.336666666666666</v>
      </c>
      <c r="E30" s="3">
        <f t="shared" si="6"/>
        <v>-0.30666666666666664</v>
      </c>
      <c r="F30" s="3">
        <f t="shared" si="2"/>
        <v>0.30666666666666664</v>
      </c>
      <c r="G30" s="3">
        <f t="shared" si="3"/>
        <v>9.4044444444444431E-2</v>
      </c>
    </row>
    <row r="31" spans="1:7" x14ac:dyDescent="0.3">
      <c r="A31" s="23"/>
      <c r="B31" s="3" t="s">
        <v>313</v>
      </c>
      <c r="C31" s="7">
        <v>10.029999999999999</v>
      </c>
      <c r="D31" s="3">
        <f t="shared" si="7"/>
        <v>13.67</v>
      </c>
      <c r="E31" s="3">
        <f t="shared" si="6"/>
        <v>-3.6400000000000006</v>
      </c>
      <c r="F31" s="3">
        <f t="shared" si="2"/>
        <v>3.6400000000000006</v>
      </c>
      <c r="G31" s="3">
        <f t="shared" si="3"/>
        <v>13.249600000000004</v>
      </c>
    </row>
    <row r="32" spans="1:7" x14ac:dyDescent="0.3">
      <c r="A32" s="21" t="s">
        <v>309</v>
      </c>
      <c r="B32" s="3">
        <v>8</v>
      </c>
      <c r="C32" s="2">
        <v>13.27</v>
      </c>
      <c r="D32" s="3">
        <f>(SUM($C$32:$C$41)-C32)/(COUNT($C$32:$C$41)-1)</f>
        <v>14.798888888888886</v>
      </c>
      <c r="E32" s="3">
        <f t="shared" si="6"/>
        <v>-1.5288888888888863</v>
      </c>
      <c r="F32" s="3">
        <f t="shared" si="2"/>
        <v>1.5288888888888863</v>
      </c>
      <c r="G32" s="3">
        <f t="shared" si="3"/>
        <v>2.3375012345678932</v>
      </c>
    </row>
    <row r="33" spans="1:7" x14ac:dyDescent="0.3">
      <c r="A33" s="22"/>
      <c r="B33" s="3">
        <v>9</v>
      </c>
      <c r="C33" s="2">
        <v>14.74</v>
      </c>
      <c r="D33" s="3">
        <f t="shared" ref="D33:D41" si="8">(SUM($C$32:$C$41)-C33)/(COUNT($C$32:$C$41)-1)</f>
        <v>14.635555555555552</v>
      </c>
      <c r="E33" s="3">
        <f t="shared" si="6"/>
        <v>0.10444444444444834</v>
      </c>
      <c r="F33" s="3">
        <f t="shared" si="2"/>
        <v>0.10444444444444834</v>
      </c>
      <c r="G33" s="3">
        <f t="shared" si="3"/>
        <v>1.0908641975309455E-2</v>
      </c>
    </row>
    <row r="34" spans="1:7" x14ac:dyDescent="0.3">
      <c r="A34" s="22"/>
      <c r="B34" s="3">
        <v>10</v>
      </c>
      <c r="C34" s="5">
        <v>15.11</v>
      </c>
      <c r="D34" s="3">
        <f t="shared" si="8"/>
        <v>14.594444444444441</v>
      </c>
      <c r="E34" s="3">
        <f t="shared" si="6"/>
        <v>0.51555555555555799</v>
      </c>
      <c r="F34" s="3">
        <f t="shared" si="2"/>
        <v>0.51555555555555799</v>
      </c>
      <c r="G34" s="3">
        <f t="shared" si="3"/>
        <v>0.26579753086420005</v>
      </c>
    </row>
    <row r="35" spans="1:7" x14ac:dyDescent="0.3">
      <c r="A35" s="22"/>
      <c r="B35" s="3">
        <v>11</v>
      </c>
      <c r="C35" s="2">
        <v>15.85</v>
      </c>
      <c r="D35" s="3">
        <f t="shared" si="8"/>
        <v>14.512222222222221</v>
      </c>
      <c r="E35" s="3">
        <f t="shared" si="6"/>
        <v>1.3377777777777791</v>
      </c>
      <c r="F35" s="3">
        <f t="shared" si="2"/>
        <v>1.3377777777777791</v>
      </c>
      <c r="G35" s="3">
        <f t="shared" si="3"/>
        <v>1.7896493827160529</v>
      </c>
    </row>
    <row r="36" spans="1:7" x14ac:dyDescent="0.3">
      <c r="A36" s="22"/>
      <c r="B36" s="3">
        <v>12</v>
      </c>
      <c r="C36" s="2">
        <v>14.87</v>
      </c>
      <c r="D36" s="3">
        <f t="shared" si="8"/>
        <v>14.621111111111109</v>
      </c>
      <c r="E36" s="3">
        <f t="shared" si="6"/>
        <v>0.24888888888889049</v>
      </c>
      <c r="F36" s="3">
        <f t="shared" si="2"/>
        <v>0.24888888888889049</v>
      </c>
      <c r="G36" s="3">
        <f t="shared" si="3"/>
        <v>6.1945679012346475E-2</v>
      </c>
    </row>
    <row r="37" spans="1:7" x14ac:dyDescent="0.3">
      <c r="A37" s="22"/>
      <c r="B37" s="3">
        <v>16</v>
      </c>
      <c r="C37" s="5">
        <v>16.13</v>
      </c>
      <c r="D37" s="3">
        <f t="shared" si="8"/>
        <v>14.48111111111111</v>
      </c>
      <c r="E37" s="3">
        <f t="shared" si="6"/>
        <v>1.6488888888888891</v>
      </c>
      <c r="F37" s="3">
        <f t="shared" si="2"/>
        <v>1.6488888888888891</v>
      </c>
      <c r="G37" s="3">
        <f t="shared" si="3"/>
        <v>2.7188345679012351</v>
      </c>
    </row>
    <row r="38" spans="1:7" x14ac:dyDescent="0.3">
      <c r="A38" s="22"/>
      <c r="B38" s="3">
        <v>20</v>
      </c>
      <c r="C38" s="5">
        <v>16.5</v>
      </c>
      <c r="D38" s="3">
        <f t="shared" si="8"/>
        <v>14.439999999999998</v>
      </c>
      <c r="E38" s="3">
        <f t="shared" si="6"/>
        <v>2.0600000000000023</v>
      </c>
      <c r="F38" s="3">
        <f t="shared" si="2"/>
        <v>2.0600000000000023</v>
      </c>
      <c r="G38" s="3">
        <f t="shared" si="3"/>
        <v>4.2436000000000096</v>
      </c>
    </row>
    <row r="39" spans="1:7" x14ac:dyDescent="0.3">
      <c r="A39" s="22"/>
      <c r="B39" s="3">
        <v>0</v>
      </c>
      <c r="C39" s="5">
        <v>14.54</v>
      </c>
      <c r="D39" s="3">
        <f t="shared" si="8"/>
        <v>14.657777777777776</v>
      </c>
      <c r="E39" s="3">
        <f t="shared" si="6"/>
        <v>-0.11777777777777665</v>
      </c>
      <c r="F39" s="3">
        <f t="shared" si="2"/>
        <v>0.11777777777777665</v>
      </c>
      <c r="G39" s="3">
        <f t="shared" si="3"/>
        <v>1.3871604938271338E-2</v>
      </c>
    </row>
    <row r="40" spans="1:7" x14ac:dyDescent="0.3">
      <c r="A40" s="22"/>
      <c r="B40" s="3" t="s">
        <v>312</v>
      </c>
      <c r="C40" s="7">
        <v>13.95</v>
      </c>
      <c r="D40" s="3">
        <f t="shared" si="8"/>
        <v>14.723333333333333</v>
      </c>
      <c r="E40" s="3">
        <f t="shared" si="6"/>
        <v>-0.77333333333333343</v>
      </c>
      <c r="F40" s="3">
        <f t="shared" si="2"/>
        <v>0.77333333333333343</v>
      </c>
      <c r="G40" s="3">
        <f t="shared" si="3"/>
        <v>0.5980444444444446</v>
      </c>
    </row>
    <row r="41" spans="1:7" x14ac:dyDescent="0.3">
      <c r="A41" s="23"/>
      <c r="B41" s="3" t="s">
        <v>313</v>
      </c>
      <c r="C41" s="7">
        <v>11.5</v>
      </c>
      <c r="D41" s="3">
        <f t="shared" si="8"/>
        <v>14.995555555555553</v>
      </c>
      <c r="E41" s="3">
        <f t="shared" si="6"/>
        <v>-3.4955555555555531</v>
      </c>
      <c r="F41" s="3">
        <f t="shared" si="2"/>
        <v>3.4955555555555531</v>
      </c>
      <c r="G41" s="3">
        <f t="shared" si="3"/>
        <v>12.218908641975291</v>
      </c>
    </row>
    <row r="42" spans="1:7" x14ac:dyDescent="0.3">
      <c r="A42" s="21" t="s">
        <v>310</v>
      </c>
      <c r="B42" s="3">
        <v>8</v>
      </c>
      <c r="C42" s="2">
        <v>12.44</v>
      </c>
      <c r="D42" s="3">
        <f>(SUM($C$42:$C$51)-C42)/(COUNT($C$42:$C$51)-1)</f>
        <v>14.288888888888888</v>
      </c>
      <c r="E42" s="3">
        <f t="shared" si="6"/>
        <v>-1.8488888888888884</v>
      </c>
      <c r="F42" s="3">
        <f t="shared" si="2"/>
        <v>1.8488888888888884</v>
      </c>
      <c r="G42" s="3">
        <f t="shared" si="3"/>
        <v>3.4183901234567884</v>
      </c>
    </row>
    <row r="43" spans="1:7" x14ac:dyDescent="0.3">
      <c r="A43" s="22"/>
      <c r="B43" s="3">
        <v>9</v>
      </c>
      <c r="C43" s="5">
        <v>15.03</v>
      </c>
      <c r="D43" s="3">
        <f t="shared" ref="D43:D51" si="9">(SUM($C$42:$C$51)-C43)/(COUNT($C$42:$C$51)-1)</f>
        <v>14.00111111111111</v>
      </c>
      <c r="E43" s="3">
        <f t="shared" si="6"/>
        <v>1.0288888888888899</v>
      </c>
      <c r="F43" s="3">
        <f t="shared" si="2"/>
        <v>1.0288888888888899</v>
      </c>
      <c r="G43" s="3">
        <f t="shared" si="3"/>
        <v>1.0586123456790144</v>
      </c>
    </row>
    <row r="44" spans="1:7" x14ac:dyDescent="0.3">
      <c r="A44" s="22"/>
      <c r="B44" s="3">
        <v>10</v>
      </c>
      <c r="C44" s="5">
        <v>14.86</v>
      </c>
      <c r="D44" s="3">
        <f t="shared" si="9"/>
        <v>14.02</v>
      </c>
      <c r="E44" s="3">
        <f t="shared" si="6"/>
        <v>0.83999999999999986</v>
      </c>
      <c r="F44" s="3">
        <f t="shared" si="2"/>
        <v>0.83999999999999986</v>
      </c>
      <c r="G44" s="3">
        <f t="shared" si="3"/>
        <v>0.70559999999999978</v>
      </c>
    </row>
    <row r="45" spans="1:7" x14ac:dyDescent="0.3">
      <c r="A45" s="22"/>
      <c r="B45" s="3">
        <v>11</v>
      </c>
      <c r="C45" s="5">
        <v>15.52</v>
      </c>
      <c r="D45" s="3">
        <f t="shared" si="9"/>
        <v>13.946666666666665</v>
      </c>
      <c r="E45" s="3">
        <f t="shared" si="6"/>
        <v>1.5733333333333341</v>
      </c>
      <c r="F45" s="3">
        <f t="shared" si="2"/>
        <v>1.5733333333333341</v>
      </c>
      <c r="G45" s="3">
        <f t="shared" si="3"/>
        <v>2.4753777777777803</v>
      </c>
    </row>
    <row r="46" spans="1:7" x14ac:dyDescent="0.3">
      <c r="A46" s="22"/>
      <c r="B46" s="3">
        <v>12</v>
      </c>
      <c r="C46" s="5">
        <v>15.91</v>
      </c>
      <c r="D46" s="3">
        <f t="shared" si="9"/>
        <v>13.903333333333332</v>
      </c>
      <c r="E46" s="3">
        <f t="shared" si="6"/>
        <v>2.0066666666666677</v>
      </c>
      <c r="F46" s="3">
        <f t="shared" si="2"/>
        <v>2.0066666666666677</v>
      </c>
      <c r="G46" s="3">
        <f t="shared" si="3"/>
        <v>4.0267111111111156</v>
      </c>
    </row>
    <row r="47" spans="1:7" x14ac:dyDescent="0.3">
      <c r="A47" s="22"/>
      <c r="B47" s="3">
        <v>16</v>
      </c>
      <c r="C47" s="5">
        <v>15.3</v>
      </c>
      <c r="D47" s="3">
        <f t="shared" si="9"/>
        <v>13.97111111111111</v>
      </c>
      <c r="E47" s="3">
        <f t="shared" si="6"/>
        <v>1.3288888888888906</v>
      </c>
      <c r="F47" s="3">
        <f t="shared" si="2"/>
        <v>1.3288888888888906</v>
      </c>
      <c r="G47" s="3">
        <f t="shared" si="3"/>
        <v>1.7659456790123502</v>
      </c>
    </row>
    <row r="48" spans="1:7" x14ac:dyDescent="0.3">
      <c r="A48" s="22"/>
      <c r="B48" s="3">
        <v>20</v>
      </c>
      <c r="C48" s="5">
        <v>13.11</v>
      </c>
      <c r="D48" s="3">
        <f t="shared" si="9"/>
        <v>14.214444444444444</v>
      </c>
      <c r="E48" s="3">
        <f t="shared" si="6"/>
        <v>-1.1044444444444448</v>
      </c>
      <c r="F48" s="3">
        <f t="shared" si="2"/>
        <v>1.1044444444444448</v>
      </c>
      <c r="G48" s="3">
        <f t="shared" si="3"/>
        <v>1.2197975308641982</v>
      </c>
    </row>
    <row r="49" spans="1:7" x14ac:dyDescent="0.3">
      <c r="A49" s="22"/>
      <c r="B49" s="3">
        <v>0</v>
      </c>
      <c r="C49" s="5">
        <v>13.86</v>
      </c>
      <c r="D49" s="3">
        <f t="shared" si="9"/>
        <v>14.13111111111111</v>
      </c>
      <c r="E49" s="3">
        <f t="shared" si="6"/>
        <v>-0.27111111111111086</v>
      </c>
      <c r="F49" s="3">
        <f t="shared" si="2"/>
        <v>0.27111111111111086</v>
      </c>
      <c r="G49" s="3">
        <f t="shared" si="3"/>
        <v>7.35012345679011E-2</v>
      </c>
    </row>
    <row r="50" spans="1:7" x14ac:dyDescent="0.3">
      <c r="A50" s="22"/>
      <c r="B50" s="3" t="s">
        <v>312</v>
      </c>
      <c r="C50" s="7">
        <v>13.7</v>
      </c>
      <c r="D50" s="3">
        <f t="shared" si="9"/>
        <v>14.148888888888887</v>
      </c>
      <c r="E50" s="3">
        <f t="shared" si="6"/>
        <v>-0.448888888888888</v>
      </c>
      <c r="F50" s="3">
        <f t="shared" si="2"/>
        <v>0.448888888888888</v>
      </c>
      <c r="G50" s="3">
        <f t="shared" si="3"/>
        <v>0.20150123456790045</v>
      </c>
    </row>
    <row r="51" spans="1:7" x14ac:dyDescent="0.3">
      <c r="A51" s="23"/>
      <c r="B51" s="3" t="s">
        <v>313</v>
      </c>
      <c r="C51" s="7">
        <v>11.31</v>
      </c>
      <c r="D51" s="3">
        <f t="shared" si="9"/>
        <v>14.414444444444444</v>
      </c>
      <c r="E51" s="3">
        <f t="shared" si="6"/>
        <v>-3.104444444444443</v>
      </c>
      <c r="F51" s="3">
        <f t="shared" si="2"/>
        <v>3.104444444444443</v>
      </c>
      <c r="G51" s="3">
        <f t="shared" si="3"/>
        <v>9.6375753086419671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9210-1E3B-4F46-AF29-346694D26D7C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8.88671875" style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2</v>
      </c>
      <c r="D1" s="10" t="s">
        <v>322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7.4180000000000001</v>
      </c>
      <c r="D2" s="3">
        <f>(SUM($C$2:$C$11)-C2)/(COUNT($C$2:$C$11)-1)</f>
        <v>7.7283333333333308</v>
      </c>
      <c r="E2" s="3">
        <f>C2-D2</f>
        <v>-0.31033333333333069</v>
      </c>
      <c r="F2" s="3">
        <f>ABS(E2)</f>
        <v>0.31033333333333069</v>
      </c>
      <c r="G2" s="3">
        <f>E2^2</f>
        <v>9.6306777777776131E-2</v>
      </c>
    </row>
    <row r="3" spans="1:15" x14ac:dyDescent="0.3">
      <c r="A3" s="22"/>
      <c r="B3" s="3">
        <v>9</v>
      </c>
      <c r="C3" s="2">
        <v>7.3559999999999999</v>
      </c>
      <c r="D3" s="3">
        <f t="shared" ref="D3:D11" si="0">(SUM($C$2:$C$11)-C3)/(COUNT($C$2:$C$11)-1)</f>
        <v>7.7352222222222213</v>
      </c>
      <c r="E3" s="3">
        <f t="shared" ref="E3:E11" si="1">C3-D3</f>
        <v>-0.37922222222222146</v>
      </c>
      <c r="F3" s="3">
        <f t="shared" ref="F3:F51" si="2">ABS(E3)</f>
        <v>0.37922222222222146</v>
      </c>
      <c r="G3" s="3">
        <f t="shared" ref="G3:G51" si="3">E3^2</f>
        <v>0.14380949382715991</v>
      </c>
    </row>
    <row r="4" spans="1:15" x14ac:dyDescent="0.3">
      <c r="A4" s="22"/>
      <c r="B4" s="3">
        <v>10</v>
      </c>
      <c r="C4" s="2">
        <v>7.64</v>
      </c>
      <c r="D4" s="3">
        <f t="shared" si="0"/>
        <v>7.7036666666666651</v>
      </c>
      <c r="E4" s="3">
        <f t="shared" si="1"/>
        <v>-6.3666666666665428E-2</v>
      </c>
      <c r="F4" s="3">
        <f t="shared" si="2"/>
        <v>6.3666666666665428E-2</v>
      </c>
      <c r="G4" s="3">
        <f t="shared" si="3"/>
        <v>4.0534444444442867E-3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7.76</v>
      </c>
      <c r="D5" s="3">
        <f t="shared" si="0"/>
        <v>7.6903333333333315</v>
      </c>
      <c r="E5" s="3">
        <f t="shared" si="1"/>
        <v>6.966666666666832E-2</v>
      </c>
      <c r="F5" s="3">
        <f t="shared" si="2"/>
        <v>6.966666666666832E-2</v>
      </c>
      <c r="G5" s="3">
        <f t="shared" si="3"/>
        <v>4.8534444444446748E-3</v>
      </c>
      <c r="J5" s="2" t="s">
        <v>297</v>
      </c>
      <c r="K5" s="3">
        <f>AVERAGE(E6:E11)</f>
        <v>0.11392592592592783</v>
      </c>
      <c r="L5" s="3">
        <f>AVERAGE(F6:F11)</f>
        <v>0.20933333333333412</v>
      </c>
      <c r="M5" s="3">
        <f>AVERAGE(G6:G11)</f>
        <v>7.3693279835391437E-2</v>
      </c>
      <c r="N5" s="3">
        <f>SQRT(M5)</f>
        <v>0.27146506190556352</v>
      </c>
      <c r="O5" s="3">
        <f>N5/AVERAGE(C6:C11)*100</f>
        <v>3.4803956739105137</v>
      </c>
    </row>
    <row r="6" spans="1:15" x14ac:dyDescent="0.3">
      <c r="A6" s="22"/>
      <c r="B6" s="3">
        <v>12</v>
      </c>
      <c r="C6" s="2">
        <v>7.8479999999999999</v>
      </c>
      <c r="D6" s="3">
        <f t="shared" si="0"/>
        <v>7.6805555555555536</v>
      </c>
      <c r="E6" s="3">
        <f t="shared" si="1"/>
        <v>0.16744444444444628</v>
      </c>
      <c r="F6" s="3">
        <f t="shared" si="2"/>
        <v>0.16744444444444628</v>
      </c>
      <c r="G6" s="3">
        <f t="shared" si="3"/>
        <v>2.8037641975309259E-2</v>
      </c>
      <c r="J6" s="2">
        <v>33</v>
      </c>
      <c r="K6" s="3">
        <f>AVERAGE(E16:E21)</f>
        <v>1.0074074074075531E-2</v>
      </c>
      <c r="L6" s="3">
        <f>AVERAGE(F16:F21)</f>
        <v>4.5333333333334259E-2</v>
      </c>
      <c r="M6" s="3">
        <f>AVERAGE(G16:G21)</f>
        <v>2.5975432098766307E-3</v>
      </c>
      <c r="N6" s="3">
        <f t="shared" ref="N6:N9" si="4">SQRT(M6)</f>
        <v>5.0966098633077959E-2</v>
      </c>
      <c r="O6" s="3">
        <f>N6/AVERAGE(C16:C21)*100</f>
        <v>0.57665917101674136</v>
      </c>
    </row>
    <row r="7" spans="1:15" x14ac:dyDescent="0.3">
      <c r="A7" s="22"/>
      <c r="B7" s="3">
        <v>16</v>
      </c>
      <c r="C7" s="2">
        <v>7.8940000000000001</v>
      </c>
      <c r="D7" s="3">
        <f t="shared" si="0"/>
        <v>7.6754444444444418</v>
      </c>
      <c r="E7" s="3">
        <f t="shared" si="1"/>
        <v>0.21855555555555828</v>
      </c>
      <c r="F7" s="3">
        <f t="shared" si="2"/>
        <v>0.21855555555555828</v>
      </c>
      <c r="G7" s="3">
        <f t="shared" si="3"/>
        <v>4.7766530864198721E-2</v>
      </c>
      <c r="J7" s="2">
        <v>46</v>
      </c>
      <c r="K7" s="3">
        <f>AVERAGE(E26:E31)</f>
        <v>2.911111111111116E-2</v>
      </c>
      <c r="L7" s="3">
        <f>AVERAGE(F26:F31)</f>
        <v>5.5999999999999751E-2</v>
      </c>
      <c r="M7" s="3">
        <f>AVERAGE(G26:G31)</f>
        <v>3.877909465020563E-3</v>
      </c>
      <c r="N7" s="3">
        <f t="shared" si="4"/>
        <v>6.2272862990395444E-2</v>
      </c>
      <c r="O7" s="3">
        <f>N7/AVERAGE(C26:C31)*100</f>
        <v>0.70540171035790045</v>
      </c>
    </row>
    <row r="8" spans="1:15" x14ac:dyDescent="0.3">
      <c r="A8" s="22"/>
      <c r="B8" s="3">
        <v>20</v>
      </c>
      <c r="C8" s="2">
        <v>7.6369999999999996</v>
      </c>
      <c r="D8" s="3">
        <f t="shared" si="0"/>
        <v>7.703999999999998</v>
      </c>
      <c r="E8" s="3">
        <f t="shared" si="1"/>
        <v>-6.6999999999998394E-2</v>
      </c>
      <c r="F8" s="3">
        <f t="shared" si="2"/>
        <v>6.6999999999998394E-2</v>
      </c>
      <c r="G8" s="3">
        <f t="shared" si="3"/>
        <v>4.4889999999997848E-3</v>
      </c>
      <c r="J8" s="2" t="s">
        <v>309</v>
      </c>
      <c r="K8" s="3">
        <f>AVERAGE(E36:E41)</f>
        <v>3.3333333333332625E-2</v>
      </c>
      <c r="L8" s="3">
        <f>AVERAGE(F36:F41)</f>
        <v>4.2592592592592148E-2</v>
      </c>
      <c r="M8" s="3">
        <f>AVERAGE(G36:G41)</f>
        <v>2.3148148148147709E-3</v>
      </c>
      <c r="N8" s="3">
        <f t="shared" si="4"/>
        <v>4.8112522432468358E-2</v>
      </c>
      <c r="O8" s="3">
        <f>N8/AVERAGE(C36:C41)*100</f>
        <v>0.54144184596520761</v>
      </c>
    </row>
    <row r="9" spans="1:15" x14ac:dyDescent="0.3">
      <c r="A9" s="22"/>
      <c r="B9" s="3">
        <v>0</v>
      </c>
      <c r="C9" s="2">
        <v>8.2010000000000005</v>
      </c>
      <c r="D9" s="3">
        <f t="shared" si="0"/>
        <v>7.641333333333332</v>
      </c>
      <c r="E9" s="3">
        <f t="shared" si="1"/>
        <v>0.55966666666666853</v>
      </c>
      <c r="F9" s="3">
        <f t="shared" si="2"/>
        <v>0.55966666666666853</v>
      </c>
      <c r="G9" s="3">
        <f t="shared" si="3"/>
        <v>0.31322677777777985</v>
      </c>
      <c r="J9" s="2" t="s">
        <v>310</v>
      </c>
      <c r="K9" s="3">
        <f>AVERAGE(E46:E51)</f>
        <v>7.0518518518517162E-2</v>
      </c>
      <c r="L9" s="3">
        <f>AVERAGE(F46:F51)</f>
        <v>0.11948148148148115</v>
      </c>
      <c r="M9" s="3">
        <f>AVERAGE(G46:G51)</f>
        <v>1.5974370370370333E-2</v>
      </c>
      <c r="N9" s="3">
        <f t="shared" si="4"/>
        <v>0.12638975579678258</v>
      </c>
      <c r="O9" s="3">
        <f>N9/AVERAGE(C46:C51)*100</f>
        <v>1.4389179438744173</v>
      </c>
    </row>
    <row r="10" spans="1:15" x14ac:dyDescent="0.3">
      <c r="A10" s="22"/>
      <c r="B10" s="3" t="s">
        <v>312</v>
      </c>
      <c r="C10" s="7">
        <v>7.5</v>
      </c>
      <c r="D10" s="3">
        <f t="shared" si="0"/>
        <v>7.7192222222222204</v>
      </c>
      <c r="E10" s="3">
        <f t="shared" si="1"/>
        <v>-0.21922222222222043</v>
      </c>
      <c r="F10" s="3">
        <f t="shared" si="2"/>
        <v>0.21922222222222043</v>
      </c>
      <c r="G10" s="3">
        <f t="shared" si="3"/>
        <v>4.8058382716048599E-2</v>
      </c>
    </row>
    <row r="11" spans="1:15" x14ac:dyDescent="0.3">
      <c r="A11" s="23"/>
      <c r="B11" s="3" t="s">
        <v>313</v>
      </c>
      <c r="C11" s="7">
        <v>7.7190000000000003</v>
      </c>
      <c r="D11" s="3">
        <f t="shared" si="0"/>
        <v>7.6948888888888876</v>
      </c>
      <c r="E11" s="3">
        <f t="shared" si="1"/>
        <v>2.4111111111112749E-2</v>
      </c>
      <c r="F11" s="3">
        <f t="shared" si="2"/>
        <v>2.4111111111112749E-2</v>
      </c>
      <c r="G11" s="3">
        <f t="shared" si="3"/>
        <v>5.8134567901242467E-4</v>
      </c>
    </row>
    <row r="12" spans="1:15" x14ac:dyDescent="0.3">
      <c r="A12" s="21">
        <v>33</v>
      </c>
      <c r="B12" s="9">
        <v>8</v>
      </c>
      <c r="C12" s="2">
        <v>8.843</v>
      </c>
      <c r="D12" s="3">
        <f>(SUM($C$12:$C$21)-C12)/(COUNT($C$12:$C$21)-1)</f>
        <v>8.8275555555555538</v>
      </c>
      <c r="E12" s="3">
        <f>C12-D12</f>
        <v>1.5444444444446148E-2</v>
      </c>
      <c r="F12" s="3">
        <f t="shared" si="2"/>
        <v>1.5444444444446148E-2</v>
      </c>
      <c r="G12" s="3">
        <f t="shared" si="3"/>
        <v>2.3853086419758348E-4</v>
      </c>
    </row>
    <row r="13" spans="1:15" x14ac:dyDescent="0.3">
      <c r="A13" s="22"/>
      <c r="B13" s="3">
        <v>9</v>
      </c>
      <c r="C13" s="2">
        <v>8.6750000000000007</v>
      </c>
      <c r="D13" s="3">
        <f t="shared" ref="D13:D21" si="5">(SUM($C$12:$C$21)-C13)/(COUNT($C$12:$C$21)-1)</f>
        <v>8.8462222222222202</v>
      </c>
      <c r="E13" s="3">
        <f t="shared" ref="E13:E51" si="6">C13-D13</f>
        <v>-0.1712222222222195</v>
      </c>
      <c r="F13" s="3">
        <f t="shared" si="2"/>
        <v>0.1712222222222195</v>
      </c>
      <c r="G13" s="3">
        <f t="shared" si="3"/>
        <v>2.9317049382715118E-2</v>
      </c>
    </row>
    <row r="14" spans="1:15" x14ac:dyDescent="0.3">
      <c r="A14" s="22"/>
      <c r="B14" s="3">
        <v>10</v>
      </c>
      <c r="C14" s="2">
        <v>8.859</v>
      </c>
      <c r="D14" s="3">
        <f t="shared" si="5"/>
        <v>8.8257777777777768</v>
      </c>
      <c r="E14" s="3">
        <f t="shared" si="6"/>
        <v>3.3222222222223152E-2</v>
      </c>
      <c r="F14" s="3">
        <f t="shared" si="2"/>
        <v>3.3222222222223152E-2</v>
      </c>
      <c r="G14" s="3">
        <f t="shared" si="3"/>
        <v>1.1037160493827778E-3</v>
      </c>
    </row>
    <row r="15" spans="1:15" x14ac:dyDescent="0.3">
      <c r="A15" s="22"/>
      <c r="B15" s="3">
        <v>11</v>
      </c>
      <c r="C15" s="2">
        <v>8.8849999999999998</v>
      </c>
      <c r="D15" s="3">
        <f t="shared" si="5"/>
        <v>8.8228888888888868</v>
      </c>
      <c r="E15" s="3">
        <f t="shared" si="6"/>
        <v>6.2111111111113004E-2</v>
      </c>
      <c r="F15" s="3">
        <f t="shared" si="2"/>
        <v>6.2111111111113004E-2</v>
      </c>
      <c r="G15" s="3">
        <f t="shared" si="3"/>
        <v>3.8577901234570252E-3</v>
      </c>
    </row>
    <row r="16" spans="1:15" x14ac:dyDescent="0.3">
      <c r="A16" s="22"/>
      <c r="B16" s="3">
        <v>12</v>
      </c>
      <c r="C16" s="2">
        <v>8.8870000000000005</v>
      </c>
      <c r="D16" s="3">
        <f t="shared" si="5"/>
        <v>8.8226666666666649</v>
      </c>
      <c r="E16" s="3">
        <f t="shared" si="6"/>
        <v>6.4333333333335574E-2</v>
      </c>
      <c r="F16" s="3">
        <f t="shared" si="2"/>
        <v>6.4333333333335574E-2</v>
      </c>
      <c r="G16" s="3">
        <f t="shared" si="3"/>
        <v>4.1387777777780656E-3</v>
      </c>
    </row>
    <row r="17" spans="1:7" x14ac:dyDescent="0.3">
      <c r="A17" s="22"/>
      <c r="B17" s="3">
        <v>16</v>
      </c>
      <c r="C17" s="2">
        <v>8.8729999999999993</v>
      </c>
      <c r="D17" s="3">
        <f t="shared" si="5"/>
        <v>8.82422222222222</v>
      </c>
      <c r="E17" s="3">
        <f t="shared" si="6"/>
        <v>4.8777777777779363E-2</v>
      </c>
      <c r="F17" s="3">
        <f t="shared" si="2"/>
        <v>4.8777777777779363E-2</v>
      </c>
      <c r="G17" s="3">
        <f t="shared" si="3"/>
        <v>2.3792716049384263E-3</v>
      </c>
    </row>
    <row r="18" spans="1:7" x14ac:dyDescent="0.3">
      <c r="A18" s="22"/>
      <c r="B18" s="3">
        <v>20</v>
      </c>
      <c r="C18" s="2">
        <v>8.8759999999999994</v>
      </c>
      <c r="D18" s="3">
        <f t="shared" si="5"/>
        <v>8.8238888888888862</v>
      </c>
      <c r="E18" s="3">
        <f t="shared" si="6"/>
        <v>5.2111111111113217E-2</v>
      </c>
      <c r="F18" s="3">
        <f t="shared" si="2"/>
        <v>5.2111111111113217E-2</v>
      </c>
      <c r="G18" s="3">
        <f t="shared" si="3"/>
        <v>2.7155679012347876E-3</v>
      </c>
    </row>
    <row r="19" spans="1:7" x14ac:dyDescent="0.3">
      <c r="A19" s="22"/>
      <c r="B19" s="3">
        <v>0</v>
      </c>
      <c r="C19" s="2">
        <v>8.83</v>
      </c>
      <c r="D19" s="3">
        <f t="shared" si="5"/>
        <v>8.8289999999999988</v>
      </c>
      <c r="E19" s="3">
        <f t="shared" si="6"/>
        <v>1.0000000000012221E-3</v>
      </c>
      <c r="F19" s="3">
        <f t="shared" si="2"/>
        <v>1.0000000000012221E-3</v>
      </c>
      <c r="G19" s="3">
        <f t="shared" si="3"/>
        <v>1.0000000000024443E-6</v>
      </c>
    </row>
    <row r="20" spans="1:7" x14ac:dyDescent="0.3">
      <c r="A20" s="22"/>
      <c r="B20" s="3" t="s">
        <v>312</v>
      </c>
      <c r="C20" s="7">
        <v>8.7989999999999995</v>
      </c>
      <c r="D20" s="3">
        <f t="shared" si="5"/>
        <v>8.8324444444444428</v>
      </c>
      <c r="E20" s="3">
        <f t="shared" si="6"/>
        <v>-3.3444444444443278E-2</v>
      </c>
      <c r="F20" s="3">
        <f t="shared" si="2"/>
        <v>3.3444444444443278E-2</v>
      </c>
      <c r="G20" s="3">
        <f t="shared" si="3"/>
        <v>1.1185308641974527E-3</v>
      </c>
    </row>
    <row r="21" spans="1:7" x14ac:dyDescent="0.3">
      <c r="A21" s="23"/>
      <c r="B21" s="3" t="s">
        <v>313</v>
      </c>
      <c r="C21" s="7">
        <v>8.7639999999999993</v>
      </c>
      <c r="D21" s="3">
        <f t="shared" si="5"/>
        <v>8.8363333333333323</v>
      </c>
      <c r="E21" s="3">
        <f t="shared" si="6"/>
        <v>-7.2333333333332916E-2</v>
      </c>
      <c r="F21" s="3">
        <f t="shared" si="2"/>
        <v>7.2333333333332916E-2</v>
      </c>
      <c r="G21" s="3">
        <f t="shared" si="3"/>
        <v>5.2321111111110511E-3</v>
      </c>
    </row>
    <row r="22" spans="1:7" x14ac:dyDescent="0.3">
      <c r="A22" s="21">
        <v>46</v>
      </c>
      <c r="B22" s="9">
        <v>8</v>
      </c>
      <c r="C22" s="2">
        <v>8.7989999999999995</v>
      </c>
      <c r="D22" s="3">
        <f>(SUM($C$22:$C$31)-C22)/(COUNT($C$22:$C$31)-1)</f>
        <v>8.8021111111111097</v>
      </c>
      <c r="E22" s="3">
        <f t="shared" si="6"/>
        <v>-3.1111111111101764E-3</v>
      </c>
      <c r="F22" s="3">
        <f t="shared" si="2"/>
        <v>3.1111111111101764E-3</v>
      </c>
      <c r="G22" s="3">
        <f t="shared" si="3"/>
        <v>9.6790123456731966E-6</v>
      </c>
    </row>
    <row r="23" spans="1:7" x14ac:dyDescent="0.3">
      <c r="A23" s="22"/>
      <c r="B23" s="3">
        <v>9</v>
      </c>
      <c r="C23" s="2">
        <v>8.6120000000000001</v>
      </c>
      <c r="D23" s="3">
        <f t="shared" ref="D23:D31" si="7">(SUM($C$22:$C$31)-C23)/(COUNT($C$22:$C$31)-1)</f>
        <v>8.8228888888888903</v>
      </c>
      <c r="E23" s="3">
        <f t="shared" si="6"/>
        <v>-0.21088888888889024</v>
      </c>
      <c r="F23" s="3">
        <f t="shared" si="2"/>
        <v>0.21088888888889024</v>
      </c>
      <c r="G23" s="3">
        <f t="shared" si="3"/>
        <v>4.4474123456790693E-2</v>
      </c>
    </row>
    <row r="24" spans="1:7" x14ac:dyDescent="0.3">
      <c r="A24" s="22"/>
      <c r="B24" s="3">
        <v>10</v>
      </c>
      <c r="C24" s="2">
        <v>8.7379999999999995</v>
      </c>
      <c r="D24" s="3">
        <f t="shared" si="7"/>
        <v>8.8088888888888892</v>
      </c>
      <c r="E24" s="3">
        <f t="shared" si="6"/>
        <v>-7.0888888888889667E-2</v>
      </c>
      <c r="F24" s="3">
        <f t="shared" si="2"/>
        <v>7.0888888888889667E-2</v>
      </c>
      <c r="G24" s="3">
        <f t="shared" si="3"/>
        <v>5.0252345679013448E-3</v>
      </c>
    </row>
    <row r="25" spans="1:7" x14ac:dyDescent="0.3">
      <c r="A25" s="22"/>
      <c r="B25" s="3">
        <v>11</v>
      </c>
      <c r="C25" s="2">
        <v>8.9009999999999998</v>
      </c>
      <c r="D25" s="3">
        <f t="shared" si="7"/>
        <v>8.7907777777777785</v>
      </c>
      <c r="E25" s="3">
        <f t="shared" si="6"/>
        <v>0.11022222222222133</v>
      </c>
      <c r="F25" s="3">
        <f t="shared" si="2"/>
        <v>0.11022222222222133</v>
      </c>
      <c r="G25" s="3">
        <f t="shared" si="3"/>
        <v>1.2148938271604742E-2</v>
      </c>
    </row>
    <row r="26" spans="1:7" x14ac:dyDescent="0.3">
      <c r="A26" s="22"/>
      <c r="B26" s="3">
        <v>12</v>
      </c>
      <c r="C26" s="2">
        <v>8.8949999999999996</v>
      </c>
      <c r="D26" s="3">
        <f t="shared" si="7"/>
        <v>8.7914444444444442</v>
      </c>
      <c r="E26" s="3">
        <f t="shared" si="6"/>
        <v>0.1035555555555554</v>
      </c>
      <c r="F26" s="3">
        <f t="shared" si="2"/>
        <v>0.1035555555555554</v>
      </c>
      <c r="G26" s="3">
        <f t="shared" si="3"/>
        <v>1.0723753086419721E-2</v>
      </c>
    </row>
    <row r="27" spans="1:7" x14ac:dyDescent="0.3">
      <c r="A27" s="22"/>
      <c r="B27" s="3">
        <v>16</v>
      </c>
      <c r="C27" s="2">
        <v>8.8239999999999998</v>
      </c>
      <c r="D27" s="3">
        <f t="shared" si="7"/>
        <v>8.7993333333333332</v>
      </c>
      <c r="E27" s="3">
        <f t="shared" si="6"/>
        <v>2.4666666666666615E-2</v>
      </c>
      <c r="F27" s="3">
        <f t="shared" si="2"/>
        <v>2.4666666666666615E-2</v>
      </c>
      <c r="G27" s="3">
        <f t="shared" si="3"/>
        <v>6.0844444444444184E-4</v>
      </c>
    </row>
    <row r="28" spans="1:7" x14ac:dyDescent="0.3">
      <c r="A28" s="22"/>
      <c r="B28" s="3">
        <v>20</v>
      </c>
      <c r="C28" s="2">
        <v>8.8569999999999993</v>
      </c>
      <c r="D28" s="3">
        <f t="shared" si="7"/>
        <v>8.7956666666666674</v>
      </c>
      <c r="E28" s="3">
        <f t="shared" si="6"/>
        <v>6.1333333333331908E-2</v>
      </c>
      <c r="F28" s="3">
        <f t="shared" si="2"/>
        <v>6.1333333333331908E-2</v>
      </c>
      <c r="G28" s="3">
        <f t="shared" si="3"/>
        <v>3.7617777777776027E-3</v>
      </c>
    </row>
    <row r="29" spans="1:7" x14ac:dyDescent="0.3">
      <c r="A29" s="22"/>
      <c r="B29" s="3">
        <v>0</v>
      </c>
      <c r="C29" s="2">
        <v>8.8610000000000007</v>
      </c>
      <c r="D29" s="3">
        <f t="shared" si="7"/>
        <v>8.7952222222222218</v>
      </c>
      <c r="E29" s="3">
        <f t="shared" si="6"/>
        <v>6.5777777777778823E-2</v>
      </c>
      <c r="F29" s="3">
        <f t="shared" si="2"/>
        <v>6.5777777777778823E-2</v>
      </c>
      <c r="G29" s="3">
        <f t="shared" si="3"/>
        <v>4.3267160493828533E-3</v>
      </c>
    </row>
    <row r="30" spans="1:7" x14ac:dyDescent="0.3">
      <c r="A30" s="22"/>
      <c r="B30" s="3" t="s">
        <v>312</v>
      </c>
      <c r="C30" s="7">
        <v>8.75</v>
      </c>
      <c r="D30" s="3">
        <f t="shared" si="7"/>
        <v>8.807555555555556</v>
      </c>
      <c r="E30" s="3">
        <f t="shared" si="6"/>
        <v>-5.7555555555556026E-2</v>
      </c>
      <c r="F30" s="3">
        <f t="shared" si="2"/>
        <v>5.7555555555556026E-2</v>
      </c>
      <c r="G30" s="3">
        <f t="shared" si="3"/>
        <v>3.3126419753086961E-3</v>
      </c>
    </row>
    <row r="31" spans="1:7" x14ac:dyDescent="0.3">
      <c r="A31" s="23"/>
      <c r="B31" s="3" t="s">
        <v>313</v>
      </c>
      <c r="C31" s="7">
        <v>8.7810000000000006</v>
      </c>
      <c r="D31" s="3">
        <f t="shared" si="7"/>
        <v>8.8041111111111103</v>
      </c>
      <c r="E31" s="3">
        <f t="shared" si="6"/>
        <v>-2.311111111110975E-2</v>
      </c>
      <c r="F31" s="3">
        <f t="shared" si="2"/>
        <v>2.311111111110975E-2</v>
      </c>
      <c r="G31" s="3">
        <f t="shared" si="3"/>
        <v>5.3412345679006059E-4</v>
      </c>
    </row>
    <row r="32" spans="1:7" x14ac:dyDescent="0.3">
      <c r="A32" s="21" t="s">
        <v>309</v>
      </c>
      <c r="B32" s="3">
        <v>8</v>
      </c>
      <c r="C32" s="2">
        <v>8.7620000000000005</v>
      </c>
      <c r="D32" s="3">
        <f>(SUM($C$32:$C$41)-C32)/(COUNT($C$32:$C$41)-1)</f>
        <v>8.8664444444444452</v>
      </c>
      <c r="E32" s="3">
        <f t="shared" si="6"/>
        <v>-0.10444444444444478</v>
      </c>
      <c r="F32" s="3">
        <f t="shared" si="2"/>
        <v>0.10444444444444478</v>
      </c>
      <c r="G32" s="3">
        <f t="shared" si="3"/>
        <v>1.0908641975308712E-2</v>
      </c>
    </row>
    <row r="33" spans="1:7" x14ac:dyDescent="0.3">
      <c r="A33" s="22"/>
      <c r="B33" s="3">
        <v>9</v>
      </c>
      <c r="C33" s="2">
        <v>8.6460000000000008</v>
      </c>
      <c r="D33" s="3">
        <f t="shared" ref="D33:D41" si="8">(SUM($C$32:$C$41)-C33)/(COUNT($C$32:$C$41)-1)</f>
        <v>8.8793333333333333</v>
      </c>
      <c r="E33" s="3">
        <f t="shared" si="6"/>
        <v>-0.2333333333333325</v>
      </c>
      <c r="F33" s="3">
        <f t="shared" si="2"/>
        <v>0.2333333333333325</v>
      </c>
      <c r="G33" s="3">
        <f t="shared" si="3"/>
        <v>5.444444444444406E-2</v>
      </c>
    </row>
    <row r="34" spans="1:7" x14ac:dyDescent="0.3">
      <c r="A34" s="22"/>
      <c r="B34" s="3">
        <v>10</v>
      </c>
      <c r="C34" s="2">
        <v>8.9120000000000008</v>
      </c>
      <c r="D34" s="3">
        <f t="shared" si="8"/>
        <v>8.8497777777777777</v>
      </c>
      <c r="E34" s="3">
        <f t="shared" si="6"/>
        <v>6.2222222222223067E-2</v>
      </c>
      <c r="F34" s="3">
        <f t="shared" si="2"/>
        <v>6.2222222222223067E-2</v>
      </c>
      <c r="G34" s="3">
        <f t="shared" si="3"/>
        <v>3.8716049382717102E-3</v>
      </c>
    </row>
    <row r="35" spans="1:7" x14ac:dyDescent="0.3">
      <c r="A35" s="22"/>
      <c r="B35" s="3">
        <v>11</v>
      </c>
      <c r="C35" s="2">
        <v>8.9239999999999995</v>
      </c>
      <c r="D35" s="3">
        <f t="shared" si="8"/>
        <v>8.8484444444444446</v>
      </c>
      <c r="E35" s="3">
        <f t="shared" si="6"/>
        <v>7.5555555555554932E-2</v>
      </c>
      <c r="F35" s="3">
        <f t="shared" si="2"/>
        <v>7.5555555555554932E-2</v>
      </c>
      <c r="G35" s="3">
        <f t="shared" si="3"/>
        <v>5.7086419753085479E-3</v>
      </c>
    </row>
    <row r="36" spans="1:7" x14ac:dyDescent="0.3">
      <c r="A36" s="22"/>
      <c r="B36" s="3">
        <v>12</v>
      </c>
      <c r="C36" s="2">
        <v>8.9160000000000004</v>
      </c>
      <c r="D36" s="3">
        <f t="shared" si="8"/>
        <v>8.8493333333333339</v>
      </c>
      <c r="E36" s="3">
        <f t="shared" si="6"/>
        <v>6.666666666666643E-2</v>
      </c>
      <c r="F36" s="3">
        <f t="shared" si="2"/>
        <v>6.666666666666643E-2</v>
      </c>
      <c r="G36" s="3">
        <f t="shared" si="3"/>
        <v>4.4444444444444132E-3</v>
      </c>
    </row>
    <row r="37" spans="1:7" x14ac:dyDescent="0.3">
      <c r="A37" s="22"/>
      <c r="B37" s="3">
        <v>16</v>
      </c>
      <c r="C37" s="2">
        <v>8.9239999999999995</v>
      </c>
      <c r="D37" s="3">
        <f t="shared" si="8"/>
        <v>8.8484444444444446</v>
      </c>
      <c r="E37" s="3">
        <f t="shared" si="6"/>
        <v>7.5555555555554932E-2</v>
      </c>
      <c r="F37" s="3">
        <f t="shared" si="2"/>
        <v>7.5555555555554932E-2</v>
      </c>
      <c r="G37" s="3">
        <f t="shared" si="3"/>
        <v>5.7086419753085479E-3</v>
      </c>
    </row>
    <row r="38" spans="1:7" x14ac:dyDescent="0.3">
      <c r="A38" s="22"/>
      <c r="B38" s="3">
        <v>20</v>
      </c>
      <c r="C38" s="2">
        <v>8.8979999999999997</v>
      </c>
      <c r="D38" s="3">
        <f t="shared" si="8"/>
        <v>8.8513333333333346</v>
      </c>
      <c r="E38" s="3">
        <f t="shared" si="6"/>
        <v>4.666666666666508E-2</v>
      </c>
      <c r="F38" s="3">
        <f t="shared" si="2"/>
        <v>4.666666666666508E-2</v>
      </c>
      <c r="G38" s="3">
        <f t="shared" si="3"/>
        <v>2.1777777777776297E-3</v>
      </c>
    </row>
    <row r="39" spans="1:7" x14ac:dyDescent="0.3">
      <c r="A39" s="22"/>
      <c r="B39" s="3">
        <v>0</v>
      </c>
      <c r="C39" s="2">
        <v>8.8770000000000007</v>
      </c>
      <c r="D39" s="3">
        <f t="shared" si="8"/>
        <v>8.8536666666666672</v>
      </c>
      <c r="E39" s="3">
        <f t="shared" si="6"/>
        <v>2.3333333333333428E-2</v>
      </c>
      <c r="F39" s="3">
        <f t="shared" si="2"/>
        <v>2.3333333333333428E-2</v>
      </c>
      <c r="G39" s="3">
        <f t="shared" si="3"/>
        <v>5.4444444444444885E-4</v>
      </c>
    </row>
    <row r="40" spans="1:7" x14ac:dyDescent="0.3">
      <c r="A40" s="22"/>
      <c r="B40" s="3" t="s">
        <v>312</v>
      </c>
      <c r="C40" s="7">
        <v>8.8699999999999992</v>
      </c>
      <c r="D40" s="3">
        <f t="shared" si="8"/>
        <v>8.8544444444444448</v>
      </c>
      <c r="E40" s="3">
        <f t="shared" si="6"/>
        <v>1.5555555555554434E-2</v>
      </c>
      <c r="F40" s="3">
        <f t="shared" si="2"/>
        <v>1.5555555555554434E-2</v>
      </c>
      <c r="G40" s="3">
        <f t="shared" si="3"/>
        <v>2.4197530864194044E-4</v>
      </c>
    </row>
    <row r="41" spans="1:7" x14ac:dyDescent="0.3">
      <c r="A41" s="23"/>
      <c r="B41" s="3" t="s">
        <v>313</v>
      </c>
      <c r="C41" s="7">
        <v>8.8309999999999995</v>
      </c>
      <c r="D41" s="3">
        <f t="shared" si="8"/>
        <v>8.8587777777777781</v>
      </c>
      <c r="E41" s="3">
        <f t="shared" si="6"/>
        <v>-2.7777777777778567E-2</v>
      </c>
      <c r="F41" s="3">
        <f t="shared" si="2"/>
        <v>2.7777777777778567E-2</v>
      </c>
      <c r="G41" s="3">
        <f t="shared" si="3"/>
        <v>7.7160493827164881E-4</v>
      </c>
    </row>
    <row r="42" spans="1:7" x14ac:dyDescent="0.3">
      <c r="A42" s="21" t="s">
        <v>310</v>
      </c>
      <c r="B42" s="3">
        <v>8</v>
      </c>
      <c r="C42" s="2">
        <v>8.4009999999999998</v>
      </c>
      <c r="D42" s="3">
        <f>(SUM($C$42:$C$51)-C42)/(COUNT($C$42:$C$51)-1)</f>
        <v>8.7556666666666683</v>
      </c>
      <c r="E42" s="3">
        <f t="shared" si="6"/>
        <v>-0.35466666666666846</v>
      </c>
      <c r="F42" s="3">
        <f t="shared" si="2"/>
        <v>0.35466666666666846</v>
      </c>
      <c r="G42" s="3">
        <f t="shared" si="3"/>
        <v>0.12578844444444573</v>
      </c>
    </row>
    <row r="43" spans="1:7" x14ac:dyDescent="0.3">
      <c r="A43" s="22"/>
      <c r="B43" s="3">
        <v>9</v>
      </c>
      <c r="C43" s="2">
        <v>8.4039999999999999</v>
      </c>
      <c r="D43" s="3">
        <f t="shared" ref="D43:D51" si="9">(SUM($C$42:$C$51)-C43)/(COUNT($C$42:$C$51)-1)</f>
        <v>8.7553333333333345</v>
      </c>
      <c r="E43" s="3">
        <f t="shared" si="6"/>
        <v>-0.35133333333333461</v>
      </c>
      <c r="F43" s="3">
        <f t="shared" si="2"/>
        <v>0.35133333333333461</v>
      </c>
      <c r="G43" s="3">
        <f t="shared" si="3"/>
        <v>0.12343511111111201</v>
      </c>
    </row>
    <row r="44" spans="1:7" x14ac:dyDescent="0.3">
      <c r="A44" s="22"/>
      <c r="B44" s="3">
        <v>10</v>
      </c>
      <c r="C44" s="2">
        <v>8.8249999999999993</v>
      </c>
      <c r="D44" s="3">
        <f t="shared" si="9"/>
        <v>8.7085555555555558</v>
      </c>
      <c r="E44" s="3">
        <f t="shared" si="6"/>
        <v>0.11644444444444346</v>
      </c>
      <c r="F44" s="3">
        <f t="shared" si="2"/>
        <v>0.11644444444444346</v>
      </c>
      <c r="G44" s="3">
        <f t="shared" si="3"/>
        <v>1.355930864197508E-2</v>
      </c>
    </row>
    <row r="45" spans="1:7" x14ac:dyDescent="0.3">
      <c r="A45" s="22"/>
      <c r="B45" s="3">
        <v>11</v>
      </c>
      <c r="C45" s="2">
        <v>8.8699999999999992</v>
      </c>
      <c r="D45" s="3">
        <f t="shared" si="9"/>
        <v>8.7035555555555568</v>
      </c>
      <c r="E45" s="3">
        <f t="shared" si="6"/>
        <v>0.1664444444444424</v>
      </c>
      <c r="F45" s="3">
        <f t="shared" si="2"/>
        <v>0.1664444444444424</v>
      </c>
      <c r="G45" s="3">
        <f t="shared" si="3"/>
        <v>2.7703753086419071E-2</v>
      </c>
    </row>
    <row r="46" spans="1:7" x14ac:dyDescent="0.3">
      <c r="A46" s="22"/>
      <c r="B46" s="3">
        <v>12</v>
      </c>
      <c r="C46" s="2">
        <v>8.8369999999999997</v>
      </c>
      <c r="D46" s="3">
        <f t="shared" si="9"/>
        <v>8.7072222222222226</v>
      </c>
      <c r="E46" s="3">
        <f t="shared" si="6"/>
        <v>0.1297777777777771</v>
      </c>
      <c r="F46" s="3">
        <f t="shared" si="2"/>
        <v>0.1297777777777771</v>
      </c>
      <c r="G46" s="3">
        <f t="shared" si="3"/>
        <v>1.6842271604938095E-2</v>
      </c>
    </row>
    <row r="47" spans="1:7" x14ac:dyDescent="0.3">
      <c r="A47" s="22"/>
      <c r="B47" s="3">
        <v>16</v>
      </c>
      <c r="C47" s="2">
        <v>8.8490000000000002</v>
      </c>
      <c r="D47" s="3">
        <f t="shared" si="9"/>
        <v>8.7058888888888895</v>
      </c>
      <c r="E47" s="3">
        <f t="shared" si="6"/>
        <v>0.14311111111111074</v>
      </c>
      <c r="F47" s="3">
        <f t="shared" si="2"/>
        <v>0.14311111111111074</v>
      </c>
      <c r="G47" s="3">
        <f t="shared" si="3"/>
        <v>2.0480790123456685E-2</v>
      </c>
    </row>
    <row r="48" spans="1:7" x14ac:dyDescent="0.3">
      <c r="A48" s="22"/>
      <c r="B48" s="3">
        <v>20</v>
      </c>
      <c r="C48" s="2">
        <v>8.8729999999999993</v>
      </c>
      <c r="D48" s="3">
        <f t="shared" si="9"/>
        <v>8.7032222222222231</v>
      </c>
      <c r="E48" s="3">
        <f t="shared" si="6"/>
        <v>0.16977777777777625</v>
      </c>
      <c r="F48" s="3">
        <f t="shared" si="2"/>
        <v>0.16977777777777625</v>
      </c>
      <c r="G48" s="3">
        <f t="shared" si="3"/>
        <v>2.8824493827159976E-2</v>
      </c>
    </row>
    <row r="49" spans="1:7" x14ac:dyDescent="0.3">
      <c r="A49" s="22"/>
      <c r="B49" s="3">
        <v>0</v>
      </c>
      <c r="C49" s="2">
        <v>8.5879999999999992</v>
      </c>
      <c r="D49" s="3">
        <f t="shared" si="9"/>
        <v>8.7348888888888911</v>
      </c>
      <c r="E49" s="3">
        <f t="shared" si="6"/>
        <v>-0.14688888888889196</v>
      </c>
      <c r="F49" s="3">
        <f t="shared" si="2"/>
        <v>0.14688888888889196</v>
      </c>
      <c r="G49" s="3">
        <f t="shared" si="3"/>
        <v>2.1576345679013245E-2</v>
      </c>
    </row>
    <row r="50" spans="1:7" x14ac:dyDescent="0.3">
      <c r="A50" s="22"/>
      <c r="B50" s="3" t="s">
        <v>312</v>
      </c>
      <c r="C50" s="7">
        <v>8.7799999999999994</v>
      </c>
      <c r="D50" s="3">
        <f t="shared" si="9"/>
        <v>8.7135555555555566</v>
      </c>
      <c r="E50" s="3">
        <f t="shared" si="6"/>
        <v>6.6444444444442752E-2</v>
      </c>
      <c r="F50" s="3">
        <f t="shared" si="2"/>
        <v>6.6444444444442752E-2</v>
      </c>
      <c r="G50" s="3">
        <f t="shared" si="3"/>
        <v>4.4148641975306395E-3</v>
      </c>
    </row>
    <row r="51" spans="1:7" x14ac:dyDescent="0.3">
      <c r="A51" s="23"/>
      <c r="B51" s="3" t="s">
        <v>313</v>
      </c>
      <c r="C51" s="7">
        <v>8.7750000000000004</v>
      </c>
      <c r="D51" s="3">
        <f t="shared" si="9"/>
        <v>8.7141111111111123</v>
      </c>
      <c r="E51" s="3">
        <f t="shared" si="6"/>
        <v>6.0888888888888104E-2</v>
      </c>
      <c r="F51" s="3">
        <f t="shared" si="2"/>
        <v>6.0888888888888104E-2</v>
      </c>
      <c r="G51" s="3">
        <f t="shared" si="3"/>
        <v>3.7074567901233613E-3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BEE7-4CBC-43AF-9017-A52DD46D9D76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8.88671875" style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304</v>
      </c>
      <c r="D1" s="10" t="s">
        <v>323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256.3</v>
      </c>
      <c r="D2" s="3">
        <f>(SUM($C$2:$C$11)-C2)/(COUNT($C$2:$C$11)-1)</f>
        <v>242.23333333333332</v>
      </c>
      <c r="E2" s="3">
        <f>C2-D2</f>
        <v>14.066666666666691</v>
      </c>
      <c r="F2" s="3">
        <f>ABS(E2)</f>
        <v>14.066666666666691</v>
      </c>
      <c r="G2" s="3">
        <f>E2^2</f>
        <v>197.87111111111182</v>
      </c>
    </row>
    <row r="3" spans="1:15" x14ac:dyDescent="0.3">
      <c r="A3" s="22"/>
      <c r="B3" s="3">
        <v>9</v>
      </c>
      <c r="C3" s="2">
        <v>261.89999999999998</v>
      </c>
      <c r="D3" s="3">
        <f t="shared" ref="D3:D11" si="0">(SUM($C$2:$C$11)-C3)/(COUNT($C$2:$C$11)-1)</f>
        <v>241.61111111111111</v>
      </c>
      <c r="E3" s="3">
        <f t="shared" ref="E3:E11" si="1">C3-D3</f>
        <v>20.288888888888863</v>
      </c>
      <c r="F3" s="3">
        <f t="shared" ref="F3:F51" si="2">ABS(E3)</f>
        <v>20.288888888888863</v>
      </c>
      <c r="G3" s="3">
        <f t="shared" ref="G3:G51" si="3">E3^2</f>
        <v>411.63901234567794</v>
      </c>
    </row>
    <row r="4" spans="1:15" x14ac:dyDescent="0.3">
      <c r="A4" s="22"/>
      <c r="B4" s="3">
        <v>10</v>
      </c>
      <c r="C4" s="2">
        <v>242.9</v>
      </c>
      <c r="D4" s="3">
        <f t="shared" si="0"/>
        <v>243.72222222222223</v>
      </c>
      <c r="E4" s="3">
        <f t="shared" si="1"/>
        <v>-0.82222222222222285</v>
      </c>
      <c r="F4" s="3">
        <f t="shared" si="2"/>
        <v>0.82222222222222285</v>
      </c>
      <c r="G4" s="3">
        <f t="shared" si="3"/>
        <v>0.67604938271605042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247.2</v>
      </c>
      <c r="D5" s="3">
        <f t="shared" si="0"/>
        <v>243.24444444444447</v>
      </c>
      <c r="E5" s="3">
        <f t="shared" si="1"/>
        <v>3.9555555555555202</v>
      </c>
      <c r="F5" s="3">
        <f t="shared" si="2"/>
        <v>3.9555555555555202</v>
      </c>
      <c r="G5" s="3">
        <f t="shared" si="3"/>
        <v>15.646419753086139</v>
      </c>
      <c r="J5" s="2" t="s">
        <v>297</v>
      </c>
      <c r="K5" s="3">
        <f>AVERAGE(E6:E11)</f>
        <v>-6.2481481481481653</v>
      </c>
      <c r="L5" s="3">
        <f>AVERAGE(F6:F11)</f>
        <v>12.870370370370381</v>
      </c>
      <c r="M5" s="3">
        <f>AVERAGE(G6:G11)</f>
        <v>258.93818930041198</v>
      </c>
      <c r="N5" s="3">
        <f>SQRT(M5)</f>
        <v>16.091556459846014</v>
      </c>
      <c r="O5" s="3">
        <f>N5/AVERAGE(C6:C11)*100</f>
        <v>6.7606847390992293</v>
      </c>
    </row>
    <row r="6" spans="1:15" x14ac:dyDescent="0.3">
      <c r="A6" s="22"/>
      <c r="B6" s="3">
        <v>12</v>
      </c>
      <c r="C6" s="2">
        <v>257.89999999999998</v>
      </c>
      <c r="D6" s="3">
        <f t="shared" si="0"/>
        <v>242.05555555555554</v>
      </c>
      <c r="E6" s="3">
        <f t="shared" si="1"/>
        <v>15.844444444444434</v>
      </c>
      <c r="F6" s="3">
        <f t="shared" si="2"/>
        <v>15.844444444444434</v>
      </c>
      <c r="G6" s="3">
        <f t="shared" si="3"/>
        <v>251.0464197530861</v>
      </c>
      <c r="J6" s="2">
        <v>33</v>
      </c>
      <c r="K6" s="3">
        <f>AVERAGE(E16:E21)</f>
        <v>0.19259259259259429</v>
      </c>
      <c r="L6" s="3">
        <f>AVERAGE(F16:F21)</f>
        <v>5.2370370370370365</v>
      </c>
      <c r="M6" s="3">
        <f>AVERAGE(G16:G21)</f>
        <v>40.58201646090528</v>
      </c>
      <c r="N6" s="3">
        <f t="shared" ref="N6:N9" si="4">SQRT(M6)</f>
        <v>6.3704015933773972</v>
      </c>
      <c r="O6" s="3">
        <f>N6/AVERAGE(C16:C21)*100</f>
        <v>3.10473637886966</v>
      </c>
    </row>
    <row r="7" spans="1:15" x14ac:dyDescent="0.3">
      <c r="A7" s="22"/>
      <c r="B7" s="3">
        <v>16</v>
      </c>
      <c r="C7" s="2">
        <v>246.6</v>
      </c>
      <c r="D7" s="3">
        <f t="shared" si="0"/>
        <v>243.31111111111113</v>
      </c>
      <c r="E7" s="3">
        <f t="shared" si="1"/>
        <v>3.288888888888863</v>
      </c>
      <c r="F7" s="3">
        <f t="shared" si="2"/>
        <v>3.288888888888863</v>
      </c>
      <c r="G7" s="3">
        <f t="shared" si="3"/>
        <v>10.81679012345662</v>
      </c>
      <c r="J7" s="2">
        <v>46</v>
      </c>
      <c r="K7" s="3">
        <f>AVERAGE(E26:E31)</f>
        <v>-1.1296296296296571</v>
      </c>
      <c r="L7" s="3">
        <f>AVERAGE(F26:F31)</f>
        <v>13.77777777777778</v>
      </c>
      <c r="M7" s="3">
        <f>AVERAGE(G26:G31)</f>
        <v>330.66975308641975</v>
      </c>
      <c r="N7" s="3">
        <f t="shared" si="4"/>
        <v>18.184327127678376</v>
      </c>
      <c r="O7" s="3">
        <f>N7/AVERAGE(C26:C31)*100</f>
        <v>9.2856138524315117</v>
      </c>
    </row>
    <row r="8" spans="1:15" x14ac:dyDescent="0.3">
      <c r="A8" s="22"/>
      <c r="B8" s="3">
        <v>20</v>
      </c>
      <c r="C8" s="2">
        <v>220.2</v>
      </c>
      <c r="D8" s="3">
        <f t="shared" si="0"/>
        <v>246.24444444444447</v>
      </c>
      <c r="E8" s="3">
        <f t="shared" si="1"/>
        <v>-26.04444444444448</v>
      </c>
      <c r="F8" s="3">
        <f t="shared" si="2"/>
        <v>26.04444444444448</v>
      </c>
      <c r="G8" s="3">
        <f t="shared" si="3"/>
        <v>678.31308641975488</v>
      </c>
      <c r="J8" s="2" t="s">
        <v>309</v>
      </c>
      <c r="K8" s="3">
        <f>AVERAGE(E36:E41)</f>
        <v>-9.4777777777778116</v>
      </c>
      <c r="L8" s="3">
        <f>AVERAGE(F36:F41)</f>
        <v>18.240740740740748</v>
      </c>
      <c r="M8" s="3">
        <f>AVERAGE(G36:G41)</f>
        <v>553.94246913580321</v>
      </c>
      <c r="N8" s="3">
        <f t="shared" si="4"/>
        <v>23.535982434047728</v>
      </c>
      <c r="O8" s="3">
        <f>N8/AVERAGE(C36:C41)*100</f>
        <v>12.390619865252816</v>
      </c>
    </row>
    <row r="9" spans="1:15" x14ac:dyDescent="0.3">
      <c r="A9" s="22"/>
      <c r="B9" s="3">
        <v>0</v>
      </c>
      <c r="C9" s="2">
        <v>222.5</v>
      </c>
      <c r="D9" s="3">
        <f t="shared" si="0"/>
        <v>245.98888888888891</v>
      </c>
      <c r="E9" s="3">
        <f t="shared" si="1"/>
        <v>-23.488888888888908</v>
      </c>
      <c r="F9" s="3">
        <f t="shared" si="2"/>
        <v>23.488888888888908</v>
      </c>
      <c r="G9" s="3">
        <f t="shared" si="3"/>
        <v>551.72790123456878</v>
      </c>
      <c r="J9" s="2" t="s">
        <v>310</v>
      </c>
      <c r="K9" s="3">
        <f>AVERAGE(E46:E51)</f>
        <v>-12.403703703703732</v>
      </c>
      <c r="L9" s="3">
        <f>AVERAGE(F46:F51)</f>
        <v>13.318518518518536</v>
      </c>
      <c r="M9" s="3">
        <f>AVERAGE(G46:G51)</f>
        <v>239.14679012345752</v>
      </c>
      <c r="N9" s="3">
        <f t="shared" si="4"/>
        <v>15.464371636877377</v>
      </c>
      <c r="O9" s="3">
        <f>N9/AVERAGE(C46:C51)*100</f>
        <v>7.6797078150359424</v>
      </c>
    </row>
    <row r="10" spans="1:15" x14ac:dyDescent="0.3">
      <c r="A10" s="22"/>
      <c r="B10" s="3" t="s">
        <v>312</v>
      </c>
      <c r="C10" s="6">
        <v>236.6</v>
      </c>
      <c r="D10" s="3">
        <f t="shared" si="0"/>
        <v>244.42222222222225</v>
      </c>
      <c r="E10" s="3">
        <f t="shared" si="1"/>
        <v>-7.8222222222222513</v>
      </c>
      <c r="F10" s="3">
        <f t="shared" si="2"/>
        <v>7.8222222222222513</v>
      </c>
      <c r="G10" s="3">
        <f t="shared" si="3"/>
        <v>61.187160493827612</v>
      </c>
    </row>
    <row r="11" spans="1:15" x14ac:dyDescent="0.3">
      <c r="A11" s="23"/>
      <c r="B11" s="3" t="s">
        <v>313</v>
      </c>
      <c r="C11" s="6">
        <v>244.3</v>
      </c>
      <c r="D11" s="3">
        <f t="shared" si="0"/>
        <v>243.56666666666666</v>
      </c>
      <c r="E11" s="3">
        <f t="shared" si="1"/>
        <v>0.73333333333334849</v>
      </c>
      <c r="F11" s="3">
        <f t="shared" si="2"/>
        <v>0.73333333333334849</v>
      </c>
      <c r="G11" s="3">
        <f t="shared" si="3"/>
        <v>0.5377777777778</v>
      </c>
    </row>
    <row r="12" spans="1:15" x14ac:dyDescent="0.3">
      <c r="A12" s="21">
        <v>33</v>
      </c>
      <c r="B12" s="9">
        <v>8</v>
      </c>
      <c r="C12" s="2">
        <v>158.80000000000001</v>
      </c>
      <c r="D12" s="3">
        <f>(SUM($C$12:$C$21)-C12)/(COUNT($C$12:$C$21)-1)</f>
        <v>210.14444444444445</v>
      </c>
      <c r="E12" s="3">
        <f>C12-D12</f>
        <v>-51.344444444444434</v>
      </c>
      <c r="F12" s="3">
        <f t="shared" si="2"/>
        <v>51.344444444444434</v>
      </c>
      <c r="G12" s="3">
        <f t="shared" si="3"/>
        <v>2636.2519753086408</v>
      </c>
      <c r="K12" s="4"/>
      <c r="L12" s="4"/>
      <c r="M12" s="4"/>
      <c r="N12" s="4"/>
    </row>
    <row r="13" spans="1:15" x14ac:dyDescent="0.3">
      <c r="A13" s="22"/>
      <c r="B13" s="3">
        <v>9</v>
      </c>
      <c r="C13" s="2">
        <v>223.7</v>
      </c>
      <c r="D13" s="3">
        <f t="shared" ref="D13:D21" si="5">(SUM($C$12:$C$21)-C13)/(COUNT($C$12:$C$21)-1)</f>
        <v>202.93333333333331</v>
      </c>
      <c r="E13" s="3">
        <f t="shared" ref="E13:E51" si="6">C13-D13</f>
        <v>20.76666666666668</v>
      </c>
      <c r="F13" s="3">
        <f t="shared" si="2"/>
        <v>20.76666666666668</v>
      </c>
      <c r="G13" s="3">
        <f t="shared" si="3"/>
        <v>431.25444444444497</v>
      </c>
      <c r="K13" s="4"/>
      <c r="L13" s="4"/>
      <c r="M13" s="4"/>
      <c r="N13" s="4"/>
    </row>
    <row r="14" spans="1:15" x14ac:dyDescent="0.3">
      <c r="A14" s="22"/>
      <c r="B14" s="3">
        <v>10</v>
      </c>
      <c r="C14" s="2">
        <v>218.4</v>
      </c>
      <c r="D14" s="3">
        <f t="shared" si="5"/>
        <v>203.52222222222221</v>
      </c>
      <c r="E14" s="3">
        <f t="shared" si="6"/>
        <v>14.877777777777794</v>
      </c>
      <c r="F14" s="3">
        <f t="shared" si="2"/>
        <v>14.877777777777794</v>
      </c>
      <c r="G14" s="3">
        <f t="shared" si="3"/>
        <v>221.34827160493876</v>
      </c>
      <c r="K14" s="4"/>
      <c r="L14" s="4"/>
      <c r="M14" s="4"/>
      <c r="N14" s="4"/>
    </row>
    <row r="15" spans="1:15" x14ac:dyDescent="0.3">
      <c r="A15" s="22"/>
      <c r="B15" s="3">
        <v>11</v>
      </c>
      <c r="C15" s="2">
        <v>218.1</v>
      </c>
      <c r="D15" s="3">
        <f t="shared" si="5"/>
        <v>203.55555555555554</v>
      </c>
      <c r="E15" s="3">
        <f t="shared" si="6"/>
        <v>14.544444444444451</v>
      </c>
      <c r="F15" s="3">
        <f t="shared" si="2"/>
        <v>14.544444444444451</v>
      </c>
      <c r="G15" s="3">
        <f t="shared" si="3"/>
        <v>211.54086419753108</v>
      </c>
      <c r="K15" s="4"/>
      <c r="L15" s="4"/>
      <c r="M15" s="4"/>
      <c r="N15" s="4"/>
    </row>
    <row r="16" spans="1:15" x14ac:dyDescent="0.3">
      <c r="A16" s="22"/>
      <c r="B16" s="3">
        <v>12</v>
      </c>
      <c r="C16" s="2">
        <v>214.6</v>
      </c>
      <c r="D16" s="3">
        <f t="shared" si="5"/>
        <v>203.94444444444446</v>
      </c>
      <c r="E16" s="3">
        <f t="shared" si="6"/>
        <v>10.655555555555537</v>
      </c>
      <c r="F16" s="3">
        <f t="shared" si="2"/>
        <v>10.655555555555537</v>
      </c>
      <c r="G16" s="3">
        <f t="shared" si="3"/>
        <v>113.54086419753047</v>
      </c>
      <c r="K16" s="4"/>
      <c r="L16" s="4"/>
      <c r="M16" s="4"/>
      <c r="N16" s="4"/>
    </row>
    <row r="17" spans="1:7" x14ac:dyDescent="0.3">
      <c r="A17" s="22"/>
      <c r="B17" s="3">
        <v>16</v>
      </c>
      <c r="C17" s="2">
        <v>208.3</v>
      </c>
      <c r="D17" s="3">
        <f t="shared" si="5"/>
        <v>204.64444444444445</v>
      </c>
      <c r="E17" s="3">
        <f t="shared" si="6"/>
        <v>3.6555555555555657</v>
      </c>
      <c r="F17" s="3">
        <f t="shared" si="2"/>
        <v>3.6555555555555657</v>
      </c>
      <c r="G17" s="3">
        <f t="shared" si="3"/>
        <v>13.363086419753161</v>
      </c>
    </row>
    <row r="18" spans="1:7" x14ac:dyDescent="0.3">
      <c r="A18" s="22"/>
      <c r="B18" s="3">
        <v>20</v>
      </c>
      <c r="C18" s="2">
        <v>198.3</v>
      </c>
      <c r="D18" s="3">
        <f t="shared" si="5"/>
        <v>205.75555555555556</v>
      </c>
      <c r="E18" s="3">
        <f t="shared" si="6"/>
        <v>-7.4555555555555486</v>
      </c>
      <c r="F18" s="3">
        <f t="shared" si="2"/>
        <v>7.4555555555555486</v>
      </c>
      <c r="G18" s="3">
        <f t="shared" si="3"/>
        <v>55.585308641975203</v>
      </c>
    </row>
    <row r="19" spans="1:7" x14ac:dyDescent="0.3">
      <c r="A19" s="22"/>
      <c r="B19" s="3">
        <v>0</v>
      </c>
      <c r="C19" s="2">
        <v>206.1</v>
      </c>
      <c r="D19" s="3">
        <f t="shared" si="5"/>
        <v>204.88888888888889</v>
      </c>
      <c r="E19" s="3">
        <f t="shared" si="6"/>
        <v>1.2111111111111086</v>
      </c>
      <c r="F19" s="3">
        <f t="shared" si="2"/>
        <v>1.2111111111111086</v>
      </c>
      <c r="G19" s="3">
        <f t="shared" si="3"/>
        <v>1.4667901234567839</v>
      </c>
    </row>
    <row r="20" spans="1:7" x14ac:dyDescent="0.3">
      <c r="A20" s="22"/>
      <c r="B20" s="3" t="s">
        <v>312</v>
      </c>
      <c r="C20" s="6">
        <v>205.7</v>
      </c>
      <c r="D20" s="3">
        <f t="shared" si="5"/>
        <v>204.93333333333331</v>
      </c>
      <c r="E20" s="3">
        <f t="shared" si="6"/>
        <v>0.76666666666667993</v>
      </c>
      <c r="F20" s="3">
        <f t="shared" si="2"/>
        <v>0.76666666666667993</v>
      </c>
      <c r="G20" s="3">
        <f t="shared" si="3"/>
        <v>0.58777777777779816</v>
      </c>
    </row>
    <row r="21" spans="1:7" x14ac:dyDescent="0.3">
      <c r="A21" s="23"/>
      <c r="B21" s="3" t="s">
        <v>313</v>
      </c>
      <c r="C21" s="6">
        <v>198.1</v>
      </c>
      <c r="D21" s="3">
        <f t="shared" si="5"/>
        <v>205.77777777777777</v>
      </c>
      <c r="E21" s="3">
        <f t="shared" si="6"/>
        <v>-7.6777777777777771</v>
      </c>
      <c r="F21" s="3">
        <f t="shared" si="2"/>
        <v>7.6777777777777771</v>
      </c>
      <c r="G21" s="3">
        <f t="shared" si="3"/>
        <v>58.948271604938263</v>
      </c>
    </row>
    <row r="22" spans="1:7" x14ac:dyDescent="0.3">
      <c r="A22" s="21">
        <v>46</v>
      </c>
      <c r="B22" s="9">
        <v>8</v>
      </c>
      <c r="C22" s="2">
        <v>139.6</v>
      </c>
      <c r="D22" s="3">
        <f>(SUM($C$22:$C$31)-C22)/(COUNT($C$22:$C$31)-1)</f>
        <v>203.21111111111114</v>
      </c>
      <c r="E22" s="3">
        <f t="shared" si="6"/>
        <v>-63.611111111111143</v>
      </c>
      <c r="F22" s="3">
        <f t="shared" si="2"/>
        <v>63.611111111111143</v>
      </c>
      <c r="G22" s="3">
        <f t="shared" si="3"/>
        <v>4046.3734567901274</v>
      </c>
    </row>
    <row r="23" spans="1:7" x14ac:dyDescent="0.3">
      <c r="A23" s="22"/>
      <c r="B23" s="3">
        <v>9</v>
      </c>
      <c r="C23" s="2">
        <v>217.7</v>
      </c>
      <c r="D23" s="3">
        <f t="shared" ref="D23:D31" si="7">(SUM($C$22:$C$31)-C23)/(COUNT($C$22:$C$31)-1)</f>
        <v>194.53333333333336</v>
      </c>
      <c r="E23" s="3">
        <f t="shared" si="6"/>
        <v>23.166666666666629</v>
      </c>
      <c r="F23" s="3">
        <f t="shared" si="2"/>
        <v>23.166666666666629</v>
      </c>
      <c r="G23" s="3">
        <f t="shared" si="3"/>
        <v>536.69444444444264</v>
      </c>
    </row>
    <row r="24" spans="1:7" x14ac:dyDescent="0.3">
      <c r="A24" s="22"/>
      <c r="B24" s="3">
        <v>10</v>
      </c>
      <c r="C24" s="2">
        <v>223.7</v>
      </c>
      <c r="D24" s="3">
        <f t="shared" si="7"/>
        <v>193.86666666666667</v>
      </c>
      <c r="E24" s="3">
        <f t="shared" si="6"/>
        <v>29.833333333333314</v>
      </c>
      <c r="F24" s="3">
        <f t="shared" si="2"/>
        <v>29.833333333333314</v>
      </c>
      <c r="G24" s="3">
        <f t="shared" si="3"/>
        <v>890.02777777777669</v>
      </c>
    </row>
    <row r="25" spans="1:7" x14ac:dyDescent="0.3">
      <c r="A25" s="22"/>
      <c r="B25" s="3">
        <v>11</v>
      </c>
      <c r="C25" s="2">
        <v>212.5</v>
      </c>
      <c r="D25" s="3">
        <f t="shared" si="7"/>
        <v>195.11111111111114</v>
      </c>
      <c r="E25" s="3">
        <f t="shared" si="6"/>
        <v>17.388888888888857</v>
      </c>
      <c r="F25" s="3">
        <f t="shared" si="2"/>
        <v>17.388888888888857</v>
      </c>
      <c r="G25" s="3">
        <f t="shared" si="3"/>
        <v>302.37345679012236</v>
      </c>
    </row>
    <row r="26" spans="1:7" x14ac:dyDescent="0.3">
      <c r="A26" s="22"/>
      <c r="B26" s="3">
        <v>12</v>
      </c>
      <c r="C26" s="2">
        <v>215.1</v>
      </c>
      <c r="D26" s="3">
        <f t="shared" si="7"/>
        <v>194.82222222222225</v>
      </c>
      <c r="E26" s="3">
        <f t="shared" si="6"/>
        <v>20.277777777777743</v>
      </c>
      <c r="F26" s="3">
        <f t="shared" si="2"/>
        <v>20.277777777777743</v>
      </c>
      <c r="G26" s="3">
        <f t="shared" si="3"/>
        <v>411.18827160493686</v>
      </c>
    </row>
    <row r="27" spans="1:7" x14ac:dyDescent="0.3">
      <c r="A27" s="22"/>
      <c r="B27" s="3">
        <v>16</v>
      </c>
      <c r="C27" s="2">
        <v>193.8</v>
      </c>
      <c r="D27" s="3">
        <f t="shared" si="7"/>
        <v>197.18888888888893</v>
      </c>
      <c r="E27" s="3">
        <f t="shared" si="6"/>
        <v>-3.3888888888889142</v>
      </c>
      <c r="F27" s="3">
        <f t="shared" si="2"/>
        <v>3.3888888888889142</v>
      </c>
      <c r="G27" s="3">
        <f t="shared" si="3"/>
        <v>11.484567901234739</v>
      </c>
    </row>
    <row r="28" spans="1:7" x14ac:dyDescent="0.3">
      <c r="A28" s="22"/>
      <c r="B28" s="3">
        <v>20</v>
      </c>
      <c r="C28" s="2">
        <v>164.4</v>
      </c>
      <c r="D28" s="3">
        <f t="shared" si="7"/>
        <v>200.45555555555558</v>
      </c>
      <c r="E28" s="3">
        <f t="shared" si="6"/>
        <v>-36.055555555555571</v>
      </c>
      <c r="F28" s="3">
        <f t="shared" si="2"/>
        <v>36.055555555555571</v>
      </c>
      <c r="G28" s="3">
        <f t="shared" si="3"/>
        <v>1300.0030864197543</v>
      </c>
    </row>
    <row r="29" spans="1:7" x14ac:dyDescent="0.3">
      <c r="A29" s="22"/>
      <c r="B29" s="3">
        <v>0</v>
      </c>
      <c r="C29" s="2">
        <v>192.1</v>
      </c>
      <c r="D29" s="3">
        <f t="shared" si="7"/>
        <v>197.37777777777782</v>
      </c>
      <c r="E29" s="3">
        <f t="shared" si="6"/>
        <v>-5.2777777777778283</v>
      </c>
      <c r="F29" s="3">
        <f t="shared" si="2"/>
        <v>5.2777777777778283</v>
      </c>
      <c r="G29" s="3">
        <f t="shared" si="3"/>
        <v>27.854938271605473</v>
      </c>
    </row>
    <row r="30" spans="1:7" x14ac:dyDescent="0.3">
      <c r="A30" s="22"/>
      <c r="B30" s="3" t="s">
        <v>312</v>
      </c>
      <c r="C30" s="6">
        <v>199.2</v>
      </c>
      <c r="D30" s="3">
        <f t="shared" si="7"/>
        <v>196.5888888888889</v>
      </c>
      <c r="E30" s="3">
        <f t="shared" si="6"/>
        <v>2.6111111111110858</v>
      </c>
      <c r="F30" s="3">
        <f t="shared" si="2"/>
        <v>2.6111111111110858</v>
      </c>
      <c r="G30" s="3">
        <f t="shared" si="3"/>
        <v>6.8179012345677696</v>
      </c>
    </row>
    <row r="31" spans="1:7" x14ac:dyDescent="0.3">
      <c r="A31" s="23"/>
      <c r="B31" s="3" t="s">
        <v>313</v>
      </c>
      <c r="C31" s="6">
        <v>210.4</v>
      </c>
      <c r="D31" s="3">
        <f t="shared" si="7"/>
        <v>195.34444444444446</v>
      </c>
      <c r="E31" s="3">
        <f t="shared" si="6"/>
        <v>15.055555555555543</v>
      </c>
      <c r="F31" s="3">
        <f t="shared" si="2"/>
        <v>15.055555555555543</v>
      </c>
      <c r="G31" s="3">
        <f t="shared" si="3"/>
        <v>226.66975308641938</v>
      </c>
    </row>
    <row r="32" spans="1:7" x14ac:dyDescent="0.3">
      <c r="A32" s="21" t="s">
        <v>309</v>
      </c>
      <c r="B32" s="3">
        <v>8</v>
      </c>
      <c r="C32" s="2">
        <v>200.6</v>
      </c>
      <c r="D32" s="3">
        <f>(SUM($C$32:$C$41)-C32)/(COUNT($C$32:$C$41)-1)</f>
        <v>198.2444444444445</v>
      </c>
      <c r="E32" s="3">
        <f t="shared" si="6"/>
        <v>2.3555555555554974</v>
      </c>
      <c r="F32" s="3">
        <f t="shared" si="2"/>
        <v>2.3555555555554974</v>
      </c>
      <c r="G32" s="3">
        <f t="shared" si="3"/>
        <v>5.5486419753083682</v>
      </c>
    </row>
    <row r="33" spans="1:7" x14ac:dyDescent="0.3">
      <c r="A33" s="22"/>
      <c r="B33" s="3">
        <v>9</v>
      </c>
      <c r="C33" s="2">
        <v>224.3</v>
      </c>
      <c r="D33" s="3">
        <f t="shared" ref="D33:D41" si="8">(SUM($C$32:$C$41)-C33)/(COUNT($C$32:$C$41)-1)</f>
        <v>195.61111111111117</v>
      </c>
      <c r="E33" s="3">
        <f t="shared" si="6"/>
        <v>28.68888888888884</v>
      </c>
      <c r="F33" s="3">
        <f t="shared" si="2"/>
        <v>28.68888888888884</v>
      </c>
      <c r="G33" s="3">
        <f t="shared" si="3"/>
        <v>823.05234567900959</v>
      </c>
    </row>
    <row r="34" spans="1:7" x14ac:dyDescent="0.3">
      <c r="A34" s="22"/>
      <c r="B34" s="3">
        <v>10</v>
      </c>
      <c r="C34" s="2">
        <v>212.1</v>
      </c>
      <c r="D34" s="3">
        <f t="shared" si="8"/>
        <v>196.96666666666673</v>
      </c>
      <c r="E34" s="3">
        <f t="shared" si="6"/>
        <v>15.133333333333269</v>
      </c>
      <c r="F34" s="3">
        <f t="shared" si="2"/>
        <v>15.133333333333269</v>
      </c>
      <c r="G34" s="3">
        <f t="shared" si="3"/>
        <v>229.01777777777582</v>
      </c>
    </row>
    <row r="35" spans="1:7" x14ac:dyDescent="0.3">
      <c r="A35" s="22"/>
      <c r="B35" s="3">
        <v>11</v>
      </c>
      <c r="C35" s="2">
        <v>208.1</v>
      </c>
      <c r="D35" s="3">
        <f t="shared" si="8"/>
        <v>197.41111111111115</v>
      </c>
      <c r="E35" s="3">
        <f t="shared" si="6"/>
        <v>10.68888888888884</v>
      </c>
      <c r="F35" s="3">
        <f t="shared" si="2"/>
        <v>10.68888888888884</v>
      </c>
      <c r="G35" s="3">
        <f t="shared" si="3"/>
        <v>114.25234567901131</v>
      </c>
    </row>
    <row r="36" spans="1:7" x14ac:dyDescent="0.3">
      <c r="A36" s="22"/>
      <c r="B36" s="3">
        <v>12</v>
      </c>
      <c r="C36" s="2">
        <v>208.3</v>
      </c>
      <c r="D36" s="3">
        <f t="shared" si="8"/>
        <v>197.38888888888894</v>
      </c>
      <c r="E36" s="3">
        <f t="shared" si="6"/>
        <v>10.911111111111069</v>
      </c>
      <c r="F36" s="3">
        <f t="shared" si="2"/>
        <v>10.911111111111069</v>
      </c>
      <c r="G36" s="3">
        <f t="shared" si="3"/>
        <v>119.05234567901142</v>
      </c>
    </row>
    <row r="37" spans="1:7" x14ac:dyDescent="0.3">
      <c r="A37" s="22"/>
      <c r="B37" s="3">
        <v>16</v>
      </c>
      <c r="C37" s="2">
        <v>209.9</v>
      </c>
      <c r="D37" s="3">
        <f t="shared" si="8"/>
        <v>197.21111111111114</v>
      </c>
      <c r="E37" s="3">
        <f t="shared" si="6"/>
        <v>12.688888888888869</v>
      </c>
      <c r="F37" s="3">
        <f t="shared" si="2"/>
        <v>12.688888888888869</v>
      </c>
      <c r="G37" s="3">
        <f t="shared" si="3"/>
        <v>161.00790123456738</v>
      </c>
    </row>
    <row r="38" spans="1:7" x14ac:dyDescent="0.3">
      <c r="A38" s="22"/>
      <c r="B38" s="3">
        <v>20</v>
      </c>
      <c r="C38" s="2">
        <v>168.5</v>
      </c>
      <c r="D38" s="3">
        <f t="shared" si="8"/>
        <v>201.81111111111116</v>
      </c>
      <c r="E38" s="3">
        <f t="shared" si="6"/>
        <v>-33.31111111111116</v>
      </c>
      <c r="F38" s="3">
        <f t="shared" si="2"/>
        <v>33.31111111111116</v>
      </c>
      <c r="G38" s="3">
        <f t="shared" si="3"/>
        <v>1109.6301234567934</v>
      </c>
    </row>
    <row r="39" spans="1:7" x14ac:dyDescent="0.3">
      <c r="A39" s="22"/>
      <c r="B39" s="3">
        <v>0</v>
      </c>
      <c r="C39" s="2">
        <v>200.9</v>
      </c>
      <c r="D39" s="3">
        <f t="shared" si="8"/>
        <v>198.21111111111114</v>
      </c>
      <c r="E39" s="3">
        <f t="shared" si="6"/>
        <v>2.6888888888888687</v>
      </c>
      <c r="F39" s="3">
        <f t="shared" si="2"/>
        <v>2.6888888888888687</v>
      </c>
      <c r="G39" s="3">
        <f t="shared" si="3"/>
        <v>7.2301234567900146</v>
      </c>
    </row>
    <row r="40" spans="1:7" x14ac:dyDescent="0.3">
      <c r="A40" s="22"/>
      <c r="B40" s="3" t="s">
        <v>312</v>
      </c>
      <c r="C40" s="6">
        <v>159.4</v>
      </c>
      <c r="D40" s="3">
        <f t="shared" si="8"/>
        <v>202.82222222222225</v>
      </c>
      <c r="E40" s="3">
        <f t="shared" si="6"/>
        <v>-43.422222222222246</v>
      </c>
      <c r="F40" s="3">
        <f t="shared" si="2"/>
        <v>43.422222222222246</v>
      </c>
      <c r="G40" s="3">
        <f t="shared" si="3"/>
        <v>1885.4893827160515</v>
      </c>
    </row>
    <row r="41" spans="1:7" x14ac:dyDescent="0.3">
      <c r="A41" s="23"/>
      <c r="B41" s="3" t="s">
        <v>313</v>
      </c>
      <c r="C41" s="6">
        <v>192.7</v>
      </c>
      <c r="D41" s="3">
        <f t="shared" si="8"/>
        <v>199.12222222222226</v>
      </c>
      <c r="E41" s="3">
        <f t="shared" si="6"/>
        <v>-6.422222222222274</v>
      </c>
      <c r="F41" s="3">
        <f t="shared" si="2"/>
        <v>6.422222222222274</v>
      </c>
      <c r="G41" s="3">
        <f t="shared" si="3"/>
        <v>41.244938271605605</v>
      </c>
    </row>
    <row r="42" spans="1:7" x14ac:dyDescent="0.3">
      <c r="A42" s="21" t="s">
        <v>310</v>
      </c>
      <c r="B42" s="3">
        <v>8</v>
      </c>
      <c r="C42" s="2">
        <v>231</v>
      </c>
      <c r="D42" s="3">
        <f>(SUM($C$42:$C$51)-C42)/(COUNT($C$42:$C$51)-1)</f>
        <v>210.47777777777779</v>
      </c>
      <c r="E42" s="3">
        <f t="shared" si="6"/>
        <v>20.522222222222211</v>
      </c>
      <c r="F42" s="3">
        <f t="shared" si="2"/>
        <v>20.522222222222211</v>
      </c>
      <c r="G42" s="3">
        <f t="shared" si="3"/>
        <v>421.16160493827118</v>
      </c>
    </row>
    <row r="43" spans="1:7" x14ac:dyDescent="0.3">
      <c r="A43" s="22"/>
      <c r="B43" s="3">
        <v>9</v>
      </c>
      <c r="C43" s="2">
        <v>244.4</v>
      </c>
      <c r="D43" s="3">
        <f t="shared" ref="D43:D51" si="9">(SUM($C$42:$C$51)-C43)/(COUNT($C$42:$C$51)-1)</f>
        <v>208.98888888888891</v>
      </c>
      <c r="E43" s="3">
        <f t="shared" si="6"/>
        <v>35.411111111111097</v>
      </c>
      <c r="F43" s="3">
        <f t="shared" si="2"/>
        <v>35.411111111111097</v>
      </c>
      <c r="G43" s="3">
        <f t="shared" si="3"/>
        <v>1253.9467901234559</v>
      </c>
    </row>
    <row r="44" spans="1:7" x14ac:dyDescent="0.3">
      <c r="A44" s="22"/>
      <c r="B44" s="3">
        <v>10</v>
      </c>
      <c r="C44" s="2">
        <v>223.3</v>
      </c>
      <c r="D44" s="3">
        <f t="shared" si="9"/>
        <v>211.33333333333337</v>
      </c>
      <c r="E44" s="3">
        <f t="shared" si="6"/>
        <v>11.96666666666664</v>
      </c>
      <c r="F44" s="3">
        <f t="shared" si="2"/>
        <v>11.96666666666664</v>
      </c>
      <c r="G44" s="3">
        <f t="shared" si="3"/>
        <v>143.20111111111046</v>
      </c>
    </row>
    <row r="45" spans="1:7" x14ac:dyDescent="0.3">
      <c r="A45" s="22"/>
      <c r="B45" s="3">
        <v>11</v>
      </c>
      <c r="C45" s="2">
        <v>218.4</v>
      </c>
      <c r="D45" s="3">
        <f t="shared" si="9"/>
        <v>211.87777777777779</v>
      </c>
      <c r="E45" s="3">
        <f t="shared" si="6"/>
        <v>6.5222222222222115</v>
      </c>
      <c r="F45" s="3">
        <f t="shared" si="2"/>
        <v>6.5222222222222115</v>
      </c>
      <c r="G45" s="3">
        <f t="shared" si="3"/>
        <v>42.539382716049239</v>
      </c>
    </row>
    <row r="46" spans="1:7" x14ac:dyDescent="0.3">
      <c r="A46" s="22"/>
      <c r="B46" s="3">
        <v>12</v>
      </c>
      <c r="C46" s="2">
        <v>215</v>
      </c>
      <c r="D46" s="3">
        <f t="shared" si="9"/>
        <v>212.25555555555559</v>
      </c>
      <c r="E46" s="3">
        <f t="shared" si="6"/>
        <v>2.7444444444444116</v>
      </c>
      <c r="F46" s="3">
        <f t="shared" si="2"/>
        <v>2.7444444444444116</v>
      </c>
      <c r="G46" s="3">
        <f t="shared" si="3"/>
        <v>7.5319753086417949</v>
      </c>
    </row>
    <row r="47" spans="1:7" x14ac:dyDescent="0.3">
      <c r="A47" s="22"/>
      <c r="B47" s="3">
        <v>16</v>
      </c>
      <c r="C47" s="2">
        <v>203.2</v>
      </c>
      <c r="D47" s="3">
        <f t="shared" si="9"/>
        <v>213.56666666666669</v>
      </c>
      <c r="E47" s="3">
        <f t="shared" si="6"/>
        <v>-10.366666666666703</v>
      </c>
      <c r="F47" s="3">
        <f t="shared" si="2"/>
        <v>10.366666666666703</v>
      </c>
      <c r="G47" s="3">
        <f t="shared" si="3"/>
        <v>107.46777777777852</v>
      </c>
    </row>
    <row r="48" spans="1:7" x14ac:dyDescent="0.3">
      <c r="A48" s="22"/>
      <c r="B48" s="3">
        <v>20</v>
      </c>
      <c r="C48" s="2">
        <v>203.9</v>
      </c>
      <c r="D48" s="3">
        <f t="shared" si="9"/>
        <v>213.48888888888891</v>
      </c>
      <c r="E48" s="3">
        <f t="shared" si="6"/>
        <v>-9.5888888888889028</v>
      </c>
      <c r="F48" s="3">
        <f t="shared" si="2"/>
        <v>9.5888888888889028</v>
      </c>
      <c r="G48" s="3">
        <f t="shared" si="3"/>
        <v>91.946790123457063</v>
      </c>
    </row>
    <row r="49" spans="1:7" x14ac:dyDescent="0.3">
      <c r="A49" s="22"/>
      <c r="B49" s="3">
        <v>0</v>
      </c>
      <c r="C49" s="2">
        <v>189.7</v>
      </c>
      <c r="D49" s="3">
        <f t="shared" si="9"/>
        <v>215.06666666666669</v>
      </c>
      <c r="E49" s="3">
        <f t="shared" si="6"/>
        <v>-25.366666666666703</v>
      </c>
      <c r="F49" s="3">
        <f t="shared" si="2"/>
        <v>25.366666666666703</v>
      </c>
      <c r="G49" s="3">
        <f t="shared" si="3"/>
        <v>643.46777777777959</v>
      </c>
    </row>
    <row r="50" spans="1:7" x14ac:dyDescent="0.3">
      <c r="A50" s="22"/>
      <c r="B50" s="3" t="s">
        <v>312</v>
      </c>
      <c r="C50" s="6">
        <v>192.6</v>
      </c>
      <c r="D50" s="3">
        <f t="shared" si="9"/>
        <v>214.74444444444447</v>
      </c>
      <c r="E50" s="3">
        <f t="shared" si="6"/>
        <v>-22.144444444444474</v>
      </c>
      <c r="F50" s="3">
        <f t="shared" si="2"/>
        <v>22.144444444444474</v>
      </c>
      <c r="G50" s="3">
        <f t="shared" si="3"/>
        <v>490.37641975308776</v>
      </c>
    </row>
    <row r="51" spans="1:7" x14ac:dyDescent="0.3">
      <c r="A51" s="23"/>
      <c r="B51" s="3" t="s">
        <v>313</v>
      </c>
      <c r="C51" s="6">
        <v>203.8</v>
      </c>
      <c r="D51" s="3">
        <f t="shared" si="9"/>
        <v>213.50000000000003</v>
      </c>
      <c r="E51" s="3">
        <f t="shared" si="6"/>
        <v>-9.7000000000000171</v>
      </c>
      <c r="F51" s="3">
        <f t="shared" si="2"/>
        <v>9.7000000000000171</v>
      </c>
      <c r="G51" s="3">
        <f t="shared" si="3"/>
        <v>94.09000000000033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1264-D68A-4C32-99B8-58A061A3E78E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13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303</v>
      </c>
      <c r="D1" s="10" t="s">
        <v>324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0.34799999999999998</v>
      </c>
      <c r="D2" s="3">
        <f>(SUM($C$2:$C$11)-C2)/(COUNT($C$2:$C$11)-1)</f>
        <v>1.8278888888888889</v>
      </c>
      <c r="E2" s="3">
        <f>C2-D2</f>
        <v>-1.479888888888889</v>
      </c>
      <c r="F2" s="3">
        <f>ABS(E2)</f>
        <v>1.479888888888889</v>
      </c>
      <c r="G2" s="3">
        <f>E2^2</f>
        <v>2.1900711234567907</v>
      </c>
    </row>
    <row r="3" spans="1:15" x14ac:dyDescent="0.3">
      <c r="A3" s="22"/>
      <c r="B3" s="3">
        <v>9</v>
      </c>
      <c r="C3" s="5">
        <v>2.2000000000000002</v>
      </c>
      <c r="D3" s="3">
        <f t="shared" ref="D3:D11" si="0">(SUM($C$2:$C$11)-C3)/(COUNT($C$2:$C$11)-1)</f>
        <v>1.6221111111111111</v>
      </c>
      <c r="E3" s="3">
        <f t="shared" ref="E3:E11" si="1">C3-D3</f>
        <v>0.57788888888888912</v>
      </c>
      <c r="F3" s="3">
        <f t="shared" ref="F3:F51" si="2">ABS(E3)</f>
        <v>0.57788888888888912</v>
      </c>
      <c r="G3" s="3">
        <f t="shared" ref="G3:G51" si="3">E3^2</f>
        <v>0.33395556790123482</v>
      </c>
    </row>
    <row r="4" spans="1:15" x14ac:dyDescent="0.3">
      <c r="A4" s="22"/>
      <c r="B4" s="3">
        <v>10</v>
      </c>
      <c r="C4" s="2">
        <v>1.59</v>
      </c>
      <c r="D4" s="3">
        <f t="shared" si="0"/>
        <v>1.6898888888888888</v>
      </c>
      <c r="E4" s="3">
        <f t="shared" si="1"/>
        <v>-9.9888888888888694E-2</v>
      </c>
      <c r="F4" s="3">
        <f t="shared" si="2"/>
        <v>9.9888888888888694E-2</v>
      </c>
      <c r="G4" s="3">
        <f t="shared" si="3"/>
        <v>9.9777901234567503E-3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5">
        <v>4.13</v>
      </c>
      <c r="D5" s="3">
        <f t="shared" si="0"/>
        <v>1.4076666666666666</v>
      </c>
      <c r="E5" s="3">
        <f t="shared" si="1"/>
        <v>2.7223333333333333</v>
      </c>
      <c r="F5" s="3">
        <f t="shared" si="2"/>
        <v>2.7223333333333333</v>
      </c>
      <c r="G5" s="3">
        <f t="shared" si="3"/>
        <v>7.4110987777777773</v>
      </c>
      <c r="J5" s="2" t="s">
        <v>297</v>
      </c>
      <c r="K5" s="3">
        <f>AVERAGE(E6:E11)</f>
        <v>-0.28674074074074068</v>
      </c>
      <c r="L5" s="3">
        <f>AVERAGE(F6:F11)</f>
        <v>1.549037037037037</v>
      </c>
      <c r="M5" s="3">
        <f>AVERAGE(G6:G11)</f>
        <v>2.6205924403292178</v>
      </c>
      <c r="N5" s="3">
        <f>SQRT(M5)</f>
        <v>1.6188244007084949</v>
      </c>
      <c r="O5" s="3">
        <f>N5/AVERAGE(C6:C11)*100</f>
        <v>113.85472282558868</v>
      </c>
    </row>
    <row r="6" spans="1:15" x14ac:dyDescent="0.3">
      <c r="A6" s="22"/>
      <c r="B6" s="3">
        <v>12</v>
      </c>
      <c r="C6" s="2">
        <v>0.98599999999999999</v>
      </c>
      <c r="D6" s="3">
        <f t="shared" si="0"/>
        <v>1.7569999999999999</v>
      </c>
      <c r="E6" s="3">
        <f t="shared" si="1"/>
        <v>-0.77099999999999991</v>
      </c>
      <c r="F6" s="3">
        <f t="shared" si="2"/>
        <v>0.77099999999999991</v>
      </c>
      <c r="G6" s="3">
        <f t="shared" si="3"/>
        <v>0.59444099999999989</v>
      </c>
      <c r="J6" s="2">
        <v>33</v>
      </c>
      <c r="K6" s="3">
        <f>AVERAGE(E16:E21)</f>
        <v>0.71929629629629543</v>
      </c>
      <c r="L6" s="3">
        <f>AVERAGE(F16:F21)</f>
        <v>3.083814814814815</v>
      </c>
      <c r="M6" s="3">
        <f>AVERAGE(G16:G21)</f>
        <v>18.9448577037037</v>
      </c>
      <c r="N6" s="3">
        <f t="shared" ref="N6:N9" si="4">SQRT(M6)</f>
        <v>4.352569092352665</v>
      </c>
      <c r="O6" s="3">
        <f>N6/AVERAGE(C16:C21)*100</f>
        <v>58.75366049656008</v>
      </c>
    </row>
    <row r="7" spans="1:15" x14ac:dyDescent="0.3">
      <c r="A7" s="22"/>
      <c r="B7" s="3">
        <v>16</v>
      </c>
      <c r="C7" s="12">
        <v>0</v>
      </c>
      <c r="D7" s="3">
        <f t="shared" si="0"/>
        <v>1.8665555555555555</v>
      </c>
      <c r="E7" s="3">
        <f t="shared" si="1"/>
        <v>-1.8665555555555555</v>
      </c>
      <c r="F7" s="3">
        <f t="shared" si="2"/>
        <v>1.8665555555555555</v>
      </c>
      <c r="G7" s="3">
        <f t="shared" si="3"/>
        <v>3.4840296419753085</v>
      </c>
      <c r="J7" s="2">
        <v>46</v>
      </c>
      <c r="K7" s="3">
        <f>AVERAGE(E26:E31)</f>
        <v>0.10048148148148146</v>
      </c>
      <c r="L7" s="3">
        <f>AVERAGE(F26:F31)</f>
        <v>2.0155555555555558</v>
      </c>
      <c r="M7" s="3">
        <f>AVERAGE(G26:G31)</f>
        <v>7.5215988600823067</v>
      </c>
      <c r="N7" s="3">
        <f t="shared" si="4"/>
        <v>2.7425533468070054</v>
      </c>
      <c r="O7" s="3">
        <f>N7/AVERAGE(C26:C31)*100</f>
        <v>36.16553863921326</v>
      </c>
    </row>
    <row r="8" spans="1:15" x14ac:dyDescent="0.3">
      <c r="A8" s="22"/>
      <c r="B8" s="3">
        <v>20</v>
      </c>
      <c r="C8" s="2">
        <v>0.17699999999999999</v>
      </c>
      <c r="D8" s="3">
        <f t="shared" si="0"/>
        <v>1.8468888888888888</v>
      </c>
      <c r="E8" s="3">
        <f t="shared" si="1"/>
        <v>-1.6698888888888888</v>
      </c>
      <c r="F8" s="3">
        <f t="shared" si="2"/>
        <v>1.6698888888888888</v>
      </c>
      <c r="G8" s="3">
        <f t="shared" si="3"/>
        <v>2.7885289012345673</v>
      </c>
      <c r="J8" s="2" t="s">
        <v>309</v>
      </c>
      <c r="K8" s="3">
        <f>AVERAGE(E36:E41)</f>
        <v>5.5296296296295289E-2</v>
      </c>
      <c r="L8" s="3">
        <f>AVERAGE(F36:F41)</f>
        <v>2.5770000000000004</v>
      </c>
      <c r="M8" s="3">
        <f>AVERAGE(G36:G41)</f>
        <v>9.7816859382716022</v>
      </c>
      <c r="N8" s="3">
        <f t="shared" si="4"/>
        <v>3.1275686944128984</v>
      </c>
      <c r="O8" s="3">
        <f>N8/AVERAGE(C36:C41)*100</f>
        <v>33.273187287629682</v>
      </c>
    </row>
    <row r="9" spans="1:15" x14ac:dyDescent="0.3">
      <c r="A9" s="22"/>
      <c r="B9" s="3">
        <v>0</v>
      </c>
      <c r="C9" s="2">
        <v>3.0680000000000001</v>
      </c>
      <c r="D9" s="3">
        <f t="shared" si="0"/>
        <v>1.5256666666666667</v>
      </c>
      <c r="E9" s="3">
        <f t="shared" si="1"/>
        <v>1.5423333333333333</v>
      </c>
      <c r="F9" s="3">
        <f t="shared" si="2"/>
        <v>1.5423333333333333</v>
      </c>
      <c r="G9" s="3">
        <f t="shared" si="3"/>
        <v>2.3787921111111112</v>
      </c>
      <c r="J9" s="2" t="s">
        <v>310</v>
      </c>
      <c r="K9" s="3">
        <f>AVERAGE(E46:E51)</f>
        <v>1.2958888888888895</v>
      </c>
      <c r="L9" s="3">
        <f>AVERAGE(F46:F51)</f>
        <v>3.8940740740740742</v>
      </c>
      <c r="M9" s="3">
        <f>AVERAGE(G46:G51)</f>
        <v>20.567743238683132</v>
      </c>
      <c r="N9" s="3">
        <f t="shared" si="4"/>
        <v>4.5351673881658581</v>
      </c>
      <c r="O9" s="3">
        <f>N9/AVERAGE(C46:C51)*100</f>
        <v>56.393526338794551</v>
      </c>
    </row>
    <row r="10" spans="1:15" x14ac:dyDescent="0.3">
      <c r="A10" s="22"/>
      <c r="B10" s="3" t="s">
        <v>312</v>
      </c>
      <c r="C10" s="7">
        <v>0.6</v>
      </c>
      <c r="D10" s="3">
        <f t="shared" si="0"/>
        <v>1.7998888888888886</v>
      </c>
      <c r="E10" s="3">
        <f t="shared" si="1"/>
        <v>-1.1998888888888888</v>
      </c>
      <c r="F10" s="3">
        <f t="shared" si="2"/>
        <v>1.1998888888888888</v>
      </c>
      <c r="G10" s="3">
        <f t="shared" si="3"/>
        <v>1.439733345679012</v>
      </c>
    </row>
    <row r="11" spans="1:15" x14ac:dyDescent="0.3">
      <c r="A11" s="23"/>
      <c r="B11" s="3" t="s">
        <v>313</v>
      </c>
      <c r="C11" s="7">
        <v>3.7</v>
      </c>
      <c r="D11" s="3">
        <f t="shared" si="0"/>
        <v>1.4554444444444445</v>
      </c>
      <c r="E11" s="3">
        <f t="shared" si="1"/>
        <v>2.2445555555555554</v>
      </c>
      <c r="F11" s="3">
        <f t="shared" si="2"/>
        <v>2.2445555555555554</v>
      </c>
      <c r="G11" s="3">
        <f t="shared" si="3"/>
        <v>5.0380296419753083</v>
      </c>
    </row>
    <row r="12" spans="1:15" x14ac:dyDescent="0.3">
      <c r="A12" s="21">
        <v>33</v>
      </c>
      <c r="B12" s="9">
        <v>8</v>
      </c>
      <c r="C12" s="2">
        <v>5.5010000000000003</v>
      </c>
      <c r="D12" s="3">
        <f>(SUM($C$12:$C$21)-C12)/(COUNT($C$12:$C$21)-1)</f>
        <v>6.9007777777777788</v>
      </c>
      <c r="E12" s="3">
        <f>C12-D12</f>
        <v>-1.3997777777777785</v>
      </c>
      <c r="F12" s="3">
        <f t="shared" si="2"/>
        <v>1.3997777777777785</v>
      </c>
      <c r="G12" s="3">
        <f t="shared" si="3"/>
        <v>1.9593778271604958</v>
      </c>
    </row>
    <row r="13" spans="1:15" x14ac:dyDescent="0.3">
      <c r="A13" s="22"/>
      <c r="B13" s="3">
        <v>9</v>
      </c>
      <c r="C13" s="2">
        <v>5.5190000000000001</v>
      </c>
      <c r="D13" s="3">
        <f t="shared" ref="D13:D21" si="5">(SUM($C$12:$C$21)-C13)/(COUNT($C$12:$C$21)-1)</f>
        <v>6.8987777777777781</v>
      </c>
      <c r="E13" s="3">
        <f t="shared" ref="E13:E51" si="6">C13-D13</f>
        <v>-1.379777777777778</v>
      </c>
      <c r="F13" s="3">
        <f t="shared" si="2"/>
        <v>1.379777777777778</v>
      </c>
      <c r="G13" s="3">
        <f t="shared" si="3"/>
        <v>1.9037867160493833</v>
      </c>
      <c r="K13" s="4"/>
      <c r="L13" s="4"/>
      <c r="M13" s="4"/>
      <c r="N13" s="4"/>
    </row>
    <row r="14" spans="1:15" x14ac:dyDescent="0.3">
      <c r="A14" s="22"/>
      <c r="B14" s="3">
        <v>10</v>
      </c>
      <c r="C14" s="2">
        <v>6.54</v>
      </c>
      <c r="D14" s="3">
        <f t="shared" si="5"/>
        <v>6.7853333333333339</v>
      </c>
      <c r="E14" s="3">
        <f t="shared" si="6"/>
        <v>-0.24533333333333385</v>
      </c>
      <c r="F14" s="3">
        <f t="shared" si="2"/>
        <v>0.24533333333333385</v>
      </c>
      <c r="G14" s="3">
        <f t="shared" si="3"/>
        <v>6.0188444444444697E-2</v>
      </c>
      <c r="K14" s="4"/>
      <c r="L14" s="4"/>
      <c r="M14" s="4"/>
      <c r="N14" s="4"/>
    </row>
    <row r="15" spans="1:15" x14ac:dyDescent="0.3">
      <c r="A15" s="22"/>
      <c r="B15" s="3">
        <v>11</v>
      </c>
      <c r="C15" s="2">
        <v>5.5990000000000002</v>
      </c>
      <c r="D15" s="3">
        <f t="shared" si="5"/>
        <v>6.8898888888888887</v>
      </c>
      <c r="E15" s="3">
        <f t="shared" si="6"/>
        <v>-1.2908888888888885</v>
      </c>
      <c r="F15" s="3">
        <f t="shared" si="2"/>
        <v>1.2908888888888885</v>
      </c>
      <c r="G15" s="3">
        <f t="shared" si="3"/>
        <v>1.6663941234567892</v>
      </c>
      <c r="K15" s="4"/>
      <c r="L15" s="4"/>
      <c r="M15" s="4"/>
      <c r="N15" s="4"/>
    </row>
    <row r="16" spans="1:15" x14ac:dyDescent="0.3">
      <c r="A16" s="22"/>
      <c r="B16" s="3">
        <v>12</v>
      </c>
      <c r="C16" s="2">
        <v>4.4139999999999997</v>
      </c>
      <c r="D16" s="3">
        <f t="shared" si="5"/>
        <v>7.0215555555555556</v>
      </c>
      <c r="E16" s="3">
        <f t="shared" si="6"/>
        <v>-2.6075555555555558</v>
      </c>
      <c r="F16" s="3">
        <f t="shared" si="2"/>
        <v>2.6075555555555558</v>
      </c>
      <c r="G16" s="3">
        <f t="shared" si="3"/>
        <v>6.7993459753086434</v>
      </c>
      <c r="K16" s="4"/>
      <c r="L16" s="4"/>
      <c r="M16" s="4"/>
      <c r="N16" s="4"/>
    </row>
    <row r="17" spans="1:14" x14ac:dyDescent="0.3">
      <c r="A17" s="22"/>
      <c r="B17" s="3">
        <v>16</v>
      </c>
      <c r="C17" s="2">
        <v>6.569</v>
      </c>
      <c r="D17" s="3">
        <f t="shared" si="5"/>
        <v>6.782111111111111</v>
      </c>
      <c r="E17" s="3">
        <f t="shared" si="6"/>
        <v>-0.21311111111111103</v>
      </c>
      <c r="F17" s="3">
        <f t="shared" si="2"/>
        <v>0.21311111111111103</v>
      </c>
      <c r="G17" s="3">
        <f t="shared" si="3"/>
        <v>4.5416345679012309E-2</v>
      </c>
      <c r="K17" s="4"/>
      <c r="L17" s="4"/>
      <c r="M17" s="4"/>
      <c r="N17" s="4"/>
    </row>
    <row r="18" spans="1:14" x14ac:dyDescent="0.3">
      <c r="A18" s="22"/>
      <c r="B18" s="3">
        <v>20</v>
      </c>
      <c r="C18" s="2">
        <v>4.3789999999999996</v>
      </c>
      <c r="D18" s="3">
        <f t="shared" si="5"/>
        <v>7.025444444444445</v>
      </c>
      <c r="E18" s="3">
        <f t="shared" si="6"/>
        <v>-2.6464444444444455</v>
      </c>
      <c r="F18" s="3">
        <f t="shared" si="2"/>
        <v>2.6464444444444455</v>
      </c>
      <c r="G18" s="3">
        <f t="shared" si="3"/>
        <v>7.0036681975308701</v>
      </c>
    </row>
    <row r="19" spans="1:14" x14ac:dyDescent="0.3">
      <c r="A19" s="22"/>
      <c r="B19" s="3">
        <v>0</v>
      </c>
      <c r="C19" s="2">
        <v>5.2969999999999997</v>
      </c>
      <c r="D19" s="3">
        <f t="shared" si="5"/>
        <v>6.9234444444444456</v>
      </c>
      <c r="E19" s="3">
        <f t="shared" si="6"/>
        <v>-1.6264444444444459</v>
      </c>
      <c r="F19" s="3">
        <f t="shared" si="2"/>
        <v>1.6264444444444459</v>
      </c>
      <c r="G19" s="3">
        <f t="shared" si="3"/>
        <v>2.6453215308642024</v>
      </c>
    </row>
    <row r="20" spans="1:14" x14ac:dyDescent="0.3">
      <c r="A20" s="22"/>
      <c r="B20" s="3" t="s">
        <v>312</v>
      </c>
      <c r="C20" s="7">
        <v>8.2899999999999991</v>
      </c>
      <c r="D20" s="3">
        <f t="shared" si="5"/>
        <v>6.5908888888888892</v>
      </c>
      <c r="E20" s="3">
        <f t="shared" si="6"/>
        <v>1.6991111111111099</v>
      </c>
      <c r="F20" s="3">
        <f t="shared" si="2"/>
        <v>1.6991111111111099</v>
      </c>
      <c r="G20" s="3">
        <f t="shared" si="3"/>
        <v>2.8869785679012305</v>
      </c>
    </row>
    <row r="21" spans="1:14" x14ac:dyDescent="0.3">
      <c r="A21" s="23"/>
      <c r="B21" s="3" t="s">
        <v>313</v>
      </c>
      <c r="C21" s="7">
        <v>15.5</v>
      </c>
      <c r="D21" s="3">
        <f t="shared" si="5"/>
        <v>5.7897777777777781</v>
      </c>
      <c r="E21" s="3">
        <f t="shared" si="6"/>
        <v>9.710222222222221</v>
      </c>
      <c r="F21" s="3">
        <f t="shared" si="2"/>
        <v>9.710222222222221</v>
      </c>
      <c r="G21" s="3">
        <f t="shared" si="3"/>
        <v>94.288415604938251</v>
      </c>
    </row>
    <row r="22" spans="1:14" x14ac:dyDescent="0.3">
      <c r="A22" s="21">
        <v>46</v>
      </c>
      <c r="B22" s="9">
        <v>8</v>
      </c>
      <c r="C22" s="2">
        <v>7.5839999999999996</v>
      </c>
      <c r="D22" s="3">
        <f>(SUM($C$22:$C$31)-C22)/(COUNT($C$22:$C$31)-1)</f>
        <v>7.4827777777777778</v>
      </c>
      <c r="E22" s="3">
        <f t="shared" si="6"/>
        <v>0.10122222222222188</v>
      </c>
      <c r="F22" s="3">
        <f t="shared" si="2"/>
        <v>0.10122222222222188</v>
      </c>
      <c r="G22" s="3">
        <f t="shared" si="3"/>
        <v>1.0245938271604868E-2</v>
      </c>
    </row>
    <row r="23" spans="1:14" x14ac:dyDescent="0.3">
      <c r="A23" s="22"/>
      <c r="B23" s="3">
        <v>9</v>
      </c>
      <c r="C23" s="2">
        <v>6.5640000000000001</v>
      </c>
      <c r="D23" s="3">
        <f t="shared" ref="D23:D31" si="7">(SUM($C$22:$C$31)-C23)/(COUNT($C$22:$C$31)-1)</f>
        <v>7.5961111111111119</v>
      </c>
      <c r="E23" s="3">
        <f t="shared" si="6"/>
        <v>-1.0321111111111119</v>
      </c>
      <c r="F23" s="3">
        <f t="shared" si="2"/>
        <v>1.0321111111111119</v>
      </c>
      <c r="G23" s="3">
        <f t="shared" si="3"/>
        <v>1.0652533456790139</v>
      </c>
    </row>
    <row r="24" spans="1:14" x14ac:dyDescent="0.3">
      <c r="A24" s="22"/>
      <c r="B24" s="3">
        <v>10</v>
      </c>
      <c r="C24" s="2">
        <v>5.5910000000000002</v>
      </c>
      <c r="D24" s="3">
        <f t="shared" si="7"/>
        <v>7.7042222222222234</v>
      </c>
      <c r="E24" s="3">
        <f t="shared" si="6"/>
        <v>-2.1132222222222232</v>
      </c>
      <c r="F24" s="3">
        <f t="shared" si="2"/>
        <v>2.1132222222222232</v>
      </c>
      <c r="G24" s="3">
        <f t="shared" si="3"/>
        <v>4.4657081604938318</v>
      </c>
    </row>
    <row r="25" spans="1:14" x14ac:dyDescent="0.3">
      <c r="A25" s="22"/>
      <c r="B25" s="3">
        <v>11</v>
      </c>
      <c r="C25" s="2">
        <v>9.69</v>
      </c>
      <c r="D25" s="3">
        <f t="shared" si="7"/>
        <v>7.2487777777777787</v>
      </c>
      <c r="E25" s="3">
        <f t="shared" si="6"/>
        <v>2.4412222222222209</v>
      </c>
      <c r="F25" s="3">
        <f t="shared" si="2"/>
        <v>2.4412222222222209</v>
      </c>
      <c r="G25" s="3">
        <f t="shared" si="3"/>
        <v>5.9595659382715986</v>
      </c>
    </row>
    <row r="26" spans="1:14" x14ac:dyDescent="0.3">
      <c r="A26" s="22"/>
      <c r="B26" s="3">
        <v>12</v>
      </c>
      <c r="C26" s="2">
        <v>7.63</v>
      </c>
      <c r="D26" s="3">
        <f t="shared" si="7"/>
        <v>7.4776666666666678</v>
      </c>
      <c r="E26" s="3">
        <f t="shared" si="6"/>
        <v>0.1523333333333321</v>
      </c>
      <c r="F26" s="3">
        <f t="shared" si="2"/>
        <v>0.1523333333333321</v>
      </c>
      <c r="G26" s="3">
        <f t="shared" si="3"/>
        <v>2.3205444444444067E-2</v>
      </c>
    </row>
    <row r="27" spans="1:14" x14ac:dyDescent="0.3">
      <c r="A27" s="22"/>
      <c r="B27" s="3">
        <v>16</v>
      </c>
      <c r="C27" s="2">
        <v>6.66</v>
      </c>
      <c r="D27" s="3">
        <f t="shared" si="7"/>
        <v>7.5854444444444447</v>
      </c>
      <c r="E27" s="3">
        <f t="shared" si="6"/>
        <v>-0.92544444444444451</v>
      </c>
      <c r="F27" s="3">
        <f t="shared" si="2"/>
        <v>0.92544444444444451</v>
      </c>
      <c r="G27" s="3">
        <f t="shared" si="3"/>
        <v>0.85644741975308658</v>
      </c>
    </row>
    <row r="28" spans="1:14" x14ac:dyDescent="0.3">
      <c r="A28" s="22"/>
      <c r="B28" s="3">
        <v>20</v>
      </c>
      <c r="C28" s="2">
        <v>4.9379999999999997</v>
      </c>
      <c r="D28" s="3">
        <f t="shared" si="7"/>
        <v>7.7767777777777773</v>
      </c>
      <c r="E28" s="3">
        <f t="shared" si="6"/>
        <v>-2.8387777777777776</v>
      </c>
      <c r="F28" s="3">
        <f t="shared" si="2"/>
        <v>2.8387777777777776</v>
      </c>
      <c r="G28" s="3">
        <f t="shared" si="3"/>
        <v>8.0586592716049381</v>
      </c>
    </row>
    <row r="29" spans="1:14" x14ac:dyDescent="0.3">
      <c r="A29" s="22"/>
      <c r="B29" s="3">
        <v>0</v>
      </c>
      <c r="C29" s="2">
        <v>5.71</v>
      </c>
      <c r="D29" s="3">
        <f t="shared" si="7"/>
        <v>7.6910000000000007</v>
      </c>
      <c r="E29" s="3">
        <f t="shared" si="6"/>
        <v>-1.9810000000000008</v>
      </c>
      <c r="F29" s="3">
        <f t="shared" si="2"/>
        <v>1.9810000000000008</v>
      </c>
      <c r="G29" s="3">
        <f t="shared" si="3"/>
        <v>3.9243610000000029</v>
      </c>
    </row>
    <row r="30" spans="1:14" x14ac:dyDescent="0.3">
      <c r="A30" s="22"/>
      <c r="B30" s="3" t="s">
        <v>312</v>
      </c>
      <c r="C30" s="7">
        <v>7.98</v>
      </c>
      <c r="D30" s="3">
        <f t="shared" si="7"/>
        <v>7.4387777777777773</v>
      </c>
      <c r="E30" s="3">
        <f t="shared" si="6"/>
        <v>0.54122222222222316</v>
      </c>
      <c r="F30" s="3">
        <f t="shared" si="2"/>
        <v>0.54122222222222316</v>
      </c>
      <c r="G30" s="3">
        <f t="shared" si="3"/>
        <v>0.29292149382716148</v>
      </c>
    </row>
    <row r="31" spans="1:14" x14ac:dyDescent="0.3">
      <c r="A31" s="23"/>
      <c r="B31" s="3" t="s">
        <v>313</v>
      </c>
      <c r="C31" s="7">
        <v>12.582000000000001</v>
      </c>
      <c r="D31" s="3">
        <f t="shared" si="7"/>
        <v>6.9274444444444443</v>
      </c>
      <c r="E31" s="3">
        <f t="shared" si="6"/>
        <v>5.6545555555555564</v>
      </c>
      <c r="F31" s="3">
        <f t="shared" si="2"/>
        <v>5.6545555555555564</v>
      </c>
      <c r="G31" s="3">
        <f t="shared" si="3"/>
        <v>31.973998530864208</v>
      </c>
    </row>
    <row r="32" spans="1:14" x14ac:dyDescent="0.3">
      <c r="A32" s="21" t="s">
        <v>309</v>
      </c>
      <c r="B32" s="3">
        <v>8</v>
      </c>
      <c r="C32" s="2">
        <v>11.385</v>
      </c>
      <c r="D32" s="3">
        <f>(SUM($C$32:$C$41)-C32)/(COUNT($C$32:$C$41)-1)</f>
        <v>9.1237777777777787</v>
      </c>
      <c r="E32" s="3">
        <f t="shared" si="6"/>
        <v>2.2612222222222211</v>
      </c>
      <c r="F32" s="3">
        <f t="shared" si="2"/>
        <v>2.2612222222222211</v>
      </c>
      <c r="G32" s="3">
        <f t="shared" si="3"/>
        <v>5.1131259382716001</v>
      </c>
    </row>
    <row r="33" spans="1:7" x14ac:dyDescent="0.3">
      <c r="A33" s="22"/>
      <c r="B33" s="3">
        <v>9</v>
      </c>
      <c r="C33" s="2">
        <v>8.51</v>
      </c>
      <c r="D33" s="3">
        <f t="shared" ref="D33:D41" si="8">(SUM($C$32:$C$41)-C33)/(COUNT($C$32:$C$41)-1)</f>
        <v>9.4432222222222233</v>
      </c>
      <c r="E33" s="3">
        <f t="shared" si="6"/>
        <v>-0.93322222222222351</v>
      </c>
      <c r="F33" s="3">
        <f t="shared" si="2"/>
        <v>0.93322222222222351</v>
      </c>
      <c r="G33" s="3">
        <f t="shared" si="3"/>
        <v>0.8709037160493851</v>
      </c>
    </row>
    <row r="34" spans="1:7" x14ac:dyDescent="0.3">
      <c r="A34" s="22"/>
      <c r="B34" s="3">
        <v>10</v>
      </c>
      <c r="C34" s="2">
        <v>8.8699999999999992</v>
      </c>
      <c r="D34" s="3">
        <f t="shared" si="8"/>
        <v>9.4032222222222224</v>
      </c>
      <c r="E34" s="3">
        <f t="shared" si="6"/>
        <v>-0.53322222222222315</v>
      </c>
      <c r="F34" s="3">
        <f t="shared" si="2"/>
        <v>0.53322222222222315</v>
      </c>
      <c r="G34" s="3">
        <f t="shared" si="3"/>
        <v>0.2843259382716059</v>
      </c>
    </row>
    <row r="35" spans="1:7" x14ac:dyDescent="0.3">
      <c r="A35" s="22"/>
      <c r="B35" s="3">
        <v>11</v>
      </c>
      <c r="C35" s="2">
        <v>8.3360000000000003</v>
      </c>
      <c r="D35" s="3">
        <f t="shared" si="8"/>
        <v>9.4625555555555572</v>
      </c>
      <c r="E35" s="3">
        <f t="shared" si="6"/>
        <v>-1.1265555555555569</v>
      </c>
      <c r="F35" s="3">
        <f t="shared" si="2"/>
        <v>1.1265555555555569</v>
      </c>
      <c r="G35" s="3">
        <f t="shared" si="3"/>
        <v>1.2691274197530893</v>
      </c>
    </row>
    <row r="36" spans="1:7" x14ac:dyDescent="0.3">
      <c r="A36" s="22"/>
      <c r="B36" s="3">
        <v>12</v>
      </c>
      <c r="C36" s="2">
        <v>7.6420000000000003</v>
      </c>
      <c r="D36" s="3">
        <f t="shared" si="8"/>
        <v>9.539666666666669</v>
      </c>
      <c r="E36" s="3">
        <f t="shared" si="6"/>
        <v>-1.8976666666666686</v>
      </c>
      <c r="F36" s="3">
        <f t="shared" si="2"/>
        <v>1.8976666666666686</v>
      </c>
      <c r="G36" s="3">
        <f t="shared" si="3"/>
        <v>3.601138777777785</v>
      </c>
    </row>
    <row r="37" spans="1:7" x14ac:dyDescent="0.3">
      <c r="A37" s="22"/>
      <c r="B37" s="3">
        <v>16</v>
      </c>
      <c r="C37" s="2">
        <v>5.1589999999999998</v>
      </c>
      <c r="D37" s="3">
        <f t="shared" si="8"/>
        <v>9.8155555555555551</v>
      </c>
      <c r="E37" s="3">
        <f t="shared" si="6"/>
        <v>-4.6565555555555553</v>
      </c>
      <c r="F37" s="3">
        <f t="shared" si="2"/>
        <v>4.6565555555555553</v>
      </c>
      <c r="G37" s="3">
        <f t="shared" si="3"/>
        <v>21.683509641975306</v>
      </c>
    </row>
    <row r="38" spans="1:7" x14ac:dyDescent="0.3">
      <c r="A38" s="22"/>
      <c r="B38" s="3">
        <v>20</v>
      </c>
      <c r="C38" s="2">
        <v>12.117000000000001</v>
      </c>
      <c r="D38" s="3">
        <f t="shared" si="8"/>
        <v>9.0424444444444454</v>
      </c>
      <c r="E38" s="3">
        <f t="shared" si="6"/>
        <v>3.0745555555555555</v>
      </c>
      <c r="F38" s="3">
        <f t="shared" si="2"/>
        <v>3.0745555555555555</v>
      </c>
      <c r="G38" s="3">
        <f t="shared" si="3"/>
        <v>9.4528918641975306</v>
      </c>
    </row>
    <row r="39" spans="1:7" x14ac:dyDescent="0.3">
      <c r="A39" s="22"/>
      <c r="B39" s="3">
        <v>0</v>
      </c>
      <c r="C39" s="2">
        <v>9.17</v>
      </c>
      <c r="D39" s="3">
        <f t="shared" si="8"/>
        <v>9.3698888888888892</v>
      </c>
      <c r="E39" s="3">
        <f t="shared" si="6"/>
        <v>-0.19988888888888923</v>
      </c>
      <c r="F39" s="3">
        <f t="shared" si="2"/>
        <v>0.19988888888888923</v>
      </c>
      <c r="G39" s="3">
        <f t="shared" si="3"/>
        <v>3.9955567901234702E-2</v>
      </c>
    </row>
    <row r="40" spans="1:7" x14ac:dyDescent="0.3">
      <c r="A40" s="22"/>
      <c r="B40" s="3" t="s">
        <v>312</v>
      </c>
      <c r="C40" s="7">
        <v>8.6199999999999992</v>
      </c>
      <c r="D40" s="3">
        <f t="shared" si="8"/>
        <v>9.4310000000000009</v>
      </c>
      <c r="E40" s="3">
        <f t="shared" si="6"/>
        <v>-0.81100000000000172</v>
      </c>
      <c r="F40" s="3">
        <f t="shared" si="2"/>
        <v>0.81100000000000172</v>
      </c>
      <c r="G40" s="3">
        <f t="shared" si="3"/>
        <v>0.65772100000000278</v>
      </c>
    </row>
    <row r="41" spans="1:7" x14ac:dyDescent="0.3">
      <c r="A41" s="23"/>
      <c r="B41" s="3" t="s">
        <v>313</v>
      </c>
      <c r="C41" s="7">
        <v>13.69</v>
      </c>
      <c r="D41" s="3">
        <f t="shared" si="8"/>
        <v>8.8676666666666684</v>
      </c>
      <c r="E41" s="3">
        <f t="shared" si="6"/>
        <v>4.8223333333333311</v>
      </c>
      <c r="F41" s="3">
        <f t="shared" si="2"/>
        <v>4.8223333333333311</v>
      </c>
      <c r="G41" s="3">
        <f t="shared" si="3"/>
        <v>23.254898777777758</v>
      </c>
    </row>
    <row r="42" spans="1:7" x14ac:dyDescent="0.3">
      <c r="A42" s="21" t="s">
        <v>310</v>
      </c>
      <c r="B42" s="3">
        <v>8</v>
      </c>
      <c r="C42" s="2">
        <v>4.5880000000000001</v>
      </c>
      <c r="D42" s="3">
        <f>(SUM($C$42:$C$51)-C42)/(COUNT($C$42:$C$51)-1)</f>
        <v>7.1298888888888889</v>
      </c>
      <c r="E42" s="3">
        <f t="shared" si="6"/>
        <v>-2.5418888888888889</v>
      </c>
      <c r="F42" s="3">
        <f t="shared" si="2"/>
        <v>2.5418888888888889</v>
      </c>
      <c r="G42" s="3">
        <f t="shared" si="3"/>
        <v>6.4611991234567903</v>
      </c>
    </row>
    <row r="43" spans="1:7" x14ac:dyDescent="0.3">
      <c r="A43" s="22"/>
      <c r="B43" s="3">
        <v>9</v>
      </c>
      <c r="C43" s="2">
        <v>6.66</v>
      </c>
      <c r="D43" s="3">
        <f t="shared" ref="D43:D51" si="9">(SUM($C$42:$C$51)-C43)/(COUNT($C$42:$C$51)-1)</f>
        <v>6.8996666666666657</v>
      </c>
      <c r="E43" s="3">
        <f t="shared" si="6"/>
        <v>-0.23966666666666558</v>
      </c>
      <c r="F43" s="3">
        <f t="shared" si="2"/>
        <v>0.23966666666666558</v>
      </c>
      <c r="G43" s="3">
        <f t="shared" si="3"/>
        <v>5.7440111111110595E-2</v>
      </c>
    </row>
    <row r="44" spans="1:7" x14ac:dyDescent="0.3">
      <c r="A44" s="22"/>
      <c r="B44" s="3">
        <v>10</v>
      </c>
      <c r="C44" s="2">
        <v>4.3</v>
      </c>
      <c r="D44" s="3">
        <f t="shared" si="9"/>
        <v>7.1618888888888881</v>
      </c>
      <c r="E44" s="3">
        <f t="shared" si="6"/>
        <v>-2.8618888888888883</v>
      </c>
      <c r="F44" s="3">
        <f t="shared" si="2"/>
        <v>2.8618888888888883</v>
      </c>
      <c r="G44" s="3">
        <f t="shared" si="3"/>
        <v>8.1904080123456762</v>
      </c>
    </row>
    <row r="45" spans="1:7" x14ac:dyDescent="0.3">
      <c r="A45" s="22"/>
      <c r="B45" s="3">
        <v>11</v>
      </c>
      <c r="C45" s="2">
        <v>4.9569999999999999</v>
      </c>
      <c r="D45" s="3">
        <f t="shared" si="9"/>
        <v>7.0888888888888877</v>
      </c>
      <c r="E45" s="3">
        <f t="shared" si="6"/>
        <v>-2.1318888888888878</v>
      </c>
      <c r="F45" s="3">
        <f t="shared" si="2"/>
        <v>2.1318888888888878</v>
      </c>
      <c r="G45" s="3">
        <f t="shared" si="3"/>
        <v>4.5449502345678967</v>
      </c>
    </row>
    <row r="46" spans="1:7" x14ac:dyDescent="0.3">
      <c r="A46" s="22"/>
      <c r="B46" s="3">
        <v>12</v>
      </c>
      <c r="C46" s="2">
        <v>5.1509999999999998</v>
      </c>
      <c r="D46" s="3">
        <f t="shared" si="9"/>
        <v>7.067333333333333</v>
      </c>
      <c r="E46" s="3">
        <f t="shared" si="6"/>
        <v>-1.9163333333333332</v>
      </c>
      <c r="F46" s="3">
        <f t="shared" si="2"/>
        <v>1.9163333333333332</v>
      </c>
      <c r="G46" s="3">
        <f t="shared" si="3"/>
        <v>3.672333444444444</v>
      </c>
    </row>
    <row r="47" spans="1:7" x14ac:dyDescent="0.3">
      <c r="A47" s="22"/>
      <c r="B47" s="3">
        <v>16</v>
      </c>
      <c r="C47" s="2">
        <v>4.3159999999999998</v>
      </c>
      <c r="D47" s="3">
        <f t="shared" si="9"/>
        <v>7.1601111111111102</v>
      </c>
      <c r="E47" s="3">
        <f t="shared" si="6"/>
        <v>-2.8441111111111104</v>
      </c>
      <c r="F47" s="3">
        <f t="shared" si="2"/>
        <v>2.8441111111111104</v>
      </c>
      <c r="G47" s="3">
        <f t="shared" si="3"/>
        <v>8.0889680123456742</v>
      </c>
    </row>
    <row r="48" spans="1:7" x14ac:dyDescent="0.3">
      <c r="A48" s="22"/>
      <c r="B48" s="3">
        <v>20</v>
      </c>
      <c r="C48" s="5">
        <v>14.6</v>
      </c>
      <c r="D48" s="3">
        <f t="shared" si="9"/>
        <v>6.0174444444444433</v>
      </c>
      <c r="E48" s="3">
        <f t="shared" si="6"/>
        <v>8.5825555555555564</v>
      </c>
      <c r="F48" s="3">
        <f t="shared" si="2"/>
        <v>8.5825555555555564</v>
      </c>
      <c r="G48" s="3">
        <f t="shared" si="3"/>
        <v>73.660259864197542</v>
      </c>
    </row>
    <row r="49" spans="1:7" x14ac:dyDescent="0.3">
      <c r="A49" s="22"/>
      <c r="B49" s="3">
        <v>0</v>
      </c>
      <c r="C49" s="2">
        <v>4.1449999999999996</v>
      </c>
      <c r="D49" s="3">
        <f t="shared" si="9"/>
        <v>7.1791111111111103</v>
      </c>
      <c r="E49" s="3">
        <f t="shared" si="6"/>
        <v>-3.0341111111111108</v>
      </c>
      <c r="F49" s="3">
        <f t="shared" si="2"/>
        <v>3.0341111111111108</v>
      </c>
      <c r="G49" s="3">
        <f t="shared" si="3"/>
        <v>9.2058302345679</v>
      </c>
    </row>
    <row r="50" spans="1:7" x14ac:dyDescent="0.3">
      <c r="A50" s="22"/>
      <c r="B50" s="3" t="s">
        <v>312</v>
      </c>
      <c r="C50" s="7">
        <v>8.69</v>
      </c>
      <c r="D50" s="3">
        <f t="shared" si="9"/>
        <v>6.6741111111111104</v>
      </c>
      <c r="E50" s="3">
        <f t="shared" si="6"/>
        <v>2.0158888888888891</v>
      </c>
      <c r="F50" s="3">
        <f t="shared" si="2"/>
        <v>2.0158888888888891</v>
      </c>
      <c r="G50" s="3">
        <f t="shared" si="3"/>
        <v>4.0638080123456799</v>
      </c>
    </row>
    <row r="51" spans="1:7" x14ac:dyDescent="0.3">
      <c r="A51" s="23"/>
      <c r="B51" s="3" t="s">
        <v>313</v>
      </c>
      <c r="C51" s="7">
        <v>11.35</v>
      </c>
      <c r="D51" s="3">
        <f t="shared" si="9"/>
        <v>6.378555555555554</v>
      </c>
      <c r="E51" s="3">
        <f t="shared" si="6"/>
        <v>4.9714444444444457</v>
      </c>
      <c r="F51" s="3">
        <f t="shared" si="2"/>
        <v>4.9714444444444457</v>
      </c>
      <c r="G51" s="3">
        <f t="shared" si="3"/>
        <v>24.715259864197542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9FF5-35F2-417D-9D20-BA6359FDA550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6640625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305</v>
      </c>
      <c r="D1" s="10" t="s">
        <v>325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636</v>
      </c>
      <c r="D2" s="3">
        <f>(SUM($C$2:$C$11)-C2)/(COUNT($C$2:$C$11)-1)</f>
        <v>638.09999999999991</v>
      </c>
      <c r="E2" s="3">
        <f>C2-D2</f>
        <v>-2.0999999999999091</v>
      </c>
      <c r="F2" s="3">
        <f>ABS(E2)</f>
        <v>2.0999999999999091</v>
      </c>
      <c r="G2" s="3">
        <f>E2^2</f>
        <v>4.4099999999996182</v>
      </c>
    </row>
    <row r="3" spans="1:15" x14ac:dyDescent="0.3">
      <c r="A3" s="22"/>
      <c r="B3" s="3">
        <v>9</v>
      </c>
      <c r="C3" s="2">
        <v>642.4</v>
      </c>
      <c r="D3" s="3">
        <f t="shared" ref="D3:D11" si="0">(SUM($C$2:$C$11)-C3)/(COUNT($C$2:$C$11)-1)</f>
        <v>637.38888888888891</v>
      </c>
      <c r="E3" s="3">
        <f t="shared" ref="E3:E11" si="1">C3-D3</f>
        <v>5.0111111111110631</v>
      </c>
      <c r="F3" s="3">
        <f t="shared" ref="F3:F51" si="2">ABS(E3)</f>
        <v>5.0111111111110631</v>
      </c>
      <c r="G3" s="3">
        <f t="shared" ref="G3:G51" si="3">E3^2</f>
        <v>25.111234567900752</v>
      </c>
    </row>
    <row r="4" spans="1:15" x14ac:dyDescent="0.3">
      <c r="A4" s="22"/>
      <c r="B4" s="3">
        <v>10</v>
      </c>
      <c r="C4" s="2">
        <v>640</v>
      </c>
      <c r="D4" s="3">
        <f t="shared" si="0"/>
        <v>637.65555555555557</v>
      </c>
      <c r="E4" s="3">
        <f t="shared" si="1"/>
        <v>2.3444444444444343</v>
      </c>
      <c r="F4" s="3">
        <f t="shared" si="2"/>
        <v>2.3444444444444343</v>
      </c>
      <c r="G4" s="3">
        <f t="shared" si="3"/>
        <v>5.4964197530863723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639</v>
      </c>
      <c r="D5" s="3">
        <f t="shared" si="0"/>
        <v>637.76666666666665</v>
      </c>
      <c r="E5" s="3">
        <f t="shared" si="1"/>
        <v>1.2333333333333485</v>
      </c>
      <c r="F5" s="3">
        <f t="shared" si="2"/>
        <v>1.2333333333333485</v>
      </c>
      <c r="G5" s="3">
        <f t="shared" si="3"/>
        <v>1.5211111111111486</v>
      </c>
      <c r="J5" s="2" t="s">
        <v>297</v>
      </c>
      <c r="K5" s="3">
        <f>AVERAGE(E6:E11)</f>
        <v>-1.0814814814814515</v>
      </c>
      <c r="L5" s="3">
        <f>AVERAGE(F6:F11)</f>
        <v>5.0592592592592878</v>
      </c>
      <c r="M5" s="3">
        <f>AVERAGE(G6:G11)</f>
        <v>63.405884773662613</v>
      </c>
      <c r="N5" s="3">
        <f>SQRT(M5)</f>
        <v>7.9627812210095668</v>
      </c>
      <c r="O5" s="3">
        <f>N5/AVERAGE(C6:C11)*100</f>
        <v>1.2502077018463276</v>
      </c>
    </row>
    <row r="6" spans="1:15" x14ac:dyDescent="0.3">
      <c r="A6" s="22"/>
      <c r="B6" s="3">
        <v>12</v>
      </c>
      <c r="C6" s="2">
        <v>642.1</v>
      </c>
      <c r="D6" s="3">
        <f t="shared" si="0"/>
        <v>637.4222222222221</v>
      </c>
      <c r="E6" s="3">
        <f t="shared" si="1"/>
        <v>4.6777777777779193</v>
      </c>
      <c r="F6" s="3">
        <f t="shared" si="2"/>
        <v>4.6777777777779193</v>
      </c>
      <c r="G6" s="3">
        <f t="shared" si="3"/>
        <v>21.881604938272929</v>
      </c>
      <c r="J6" s="2">
        <v>33</v>
      </c>
      <c r="K6" s="3">
        <f>AVERAGE(E16:E21)</f>
        <v>0.91851851851846311</v>
      </c>
      <c r="L6" s="3">
        <f>AVERAGE(F16:F21)</f>
        <v>4.8888888888888857</v>
      </c>
      <c r="M6" s="3">
        <f>AVERAGE(G16:G21)</f>
        <v>30.871111111111045</v>
      </c>
      <c r="N6" s="3">
        <f t="shared" ref="N6:N9" si="4">SQRT(M6)</f>
        <v>5.556177742937229</v>
      </c>
      <c r="O6" s="3">
        <f>N6/AVERAGE(C16:C21)*100</f>
        <v>1.164410284932706</v>
      </c>
    </row>
    <row r="7" spans="1:15" x14ac:dyDescent="0.3">
      <c r="A7" s="22"/>
      <c r="B7" s="3">
        <v>16</v>
      </c>
      <c r="C7" s="2">
        <v>638.5</v>
      </c>
      <c r="D7" s="3">
        <f t="shared" si="0"/>
        <v>637.82222222222219</v>
      </c>
      <c r="E7" s="3">
        <f t="shared" si="1"/>
        <v>0.67777777777780557</v>
      </c>
      <c r="F7" s="3">
        <f t="shared" si="2"/>
        <v>0.67777777777780557</v>
      </c>
      <c r="G7" s="3">
        <f t="shared" si="3"/>
        <v>0.45938271604942038</v>
      </c>
      <c r="J7" s="2">
        <v>46</v>
      </c>
      <c r="K7" s="3">
        <f>AVERAGE(E26:E31)</f>
        <v>-7.4074074073469847E-3</v>
      </c>
      <c r="L7" s="3">
        <f>AVERAGE(F26:F31)</f>
        <v>4.0555555555555713</v>
      </c>
      <c r="M7" s="3">
        <f>AVERAGE(G26:G31)</f>
        <v>26.968847736625602</v>
      </c>
      <c r="N7" s="3">
        <f t="shared" si="4"/>
        <v>5.1931539296101752</v>
      </c>
      <c r="O7" s="3">
        <f>N7/AVERAGE(C26:C31)*100</f>
        <v>1.0958718242064169</v>
      </c>
    </row>
    <row r="8" spans="1:15" x14ac:dyDescent="0.3">
      <c r="A8" s="22"/>
      <c r="B8" s="3">
        <v>20</v>
      </c>
      <c r="C8" s="2">
        <v>640.29999999999995</v>
      </c>
      <c r="D8" s="3">
        <f t="shared" si="0"/>
        <v>637.62222222222215</v>
      </c>
      <c r="E8" s="3">
        <f t="shared" si="1"/>
        <v>2.6777777777778056</v>
      </c>
      <c r="F8" s="3">
        <f t="shared" si="2"/>
        <v>2.6777777777778056</v>
      </c>
      <c r="G8" s="3">
        <f t="shared" si="3"/>
        <v>7.1704938271606427</v>
      </c>
      <c r="J8" s="2" t="s">
        <v>309</v>
      </c>
      <c r="K8" s="3">
        <f>AVERAGE(E36:E41)</f>
        <v>-0.25925925925927612</v>
      </c>
      <c r="L8" s="3">
        <f>AVERAGE(F36:F41)</f>
        <v>3.814814814814838</v>
      </c>
      <c r="M8" s="3">
        <f>AVERAGE(G36:G41)</f>
        <v>20.049382716049504</v>
      </c>
      <c r="N8" s="3">
        <f t="shared" si="4"/>
        <v>4.4776537065799875</v>
      </c>
      <c r="O8" s="3">
        <f>N8/AVERAGE(C36:C41)*100</f>
        <v>0.94511792863856758</v>
      </c>
    </row>
    <row r="9" spans="1:15" x14ac:dyDescent="0.3">
      <c r="A9" s="22"/>
      <c r="B9" s="3">
        <v>0</v>
      </c>
      <c r="C9" s="2">
        <v>641.4</v>
      </c>
      <c r="D9" s="3">
        <f t="shared" si="0"/>
        <v>637.5</v>
      </c>
      <c r="E9" s="3">
        <f t="shared" si="1"/>
        <v>3.8999999999999773</v>
      </c>
      <c r="F9" s="3">
        <f t="shared" si="2"/>
        <v>3.8999999999999773</v>
      </c>
      <c r="G9" s="3">
        <f t="shared" si="3"/>
        <v>15.209999999999823</v>
      </c>
      <c r="J9" s="2" t="s">
        <v>310</v>
      </c>
      <c r="K9" s="3">
        <f>AVERAGE(E46:E51)</f>
        <v>0.58518518518519613</v>
      </c>
      <c r="L9" s="3">
        <f>AVERAGE(F46:F51)</f>
        <v>1.2222222222222285</v>
      </c>
      <c r="M9" s="3">
        <f>AVERAGE(G46:G51)</f>
        <v>3.5550617283951413</v>
      </c>
      <c r="N9" s="3">
        <f t="shared" si="4"/>
        <v>1.8854871329168867</v>
      </c>
      <c r="O9" s="3">
        <f>N9/AVERAGE(C46:C51)*100</f>
        <v>0.39202033396289837</v>
      </c>
    </row>
    <row r="10" spans="1:15" x14ac:dyDescent="0.3">
      <c r="A10" s="22"/>
      <c r="B10" s="3" t="s">
        <v>312</v>
      </c>
      <c r="C10" s="6">
        <v>637.79999999999995</v>
      </c>
      <c r="D10" s="3">
        <f t="shared" si="0"/>
        <v>637.9</v>
      </c>
      <c r="E10" s="3">
        <f t="shared" si="1"/>
        <v>-0.10000000000002274</v>
      </c>
      <c r="F10" s="3">
        <f t="shared" si="2"/>
        <v>0.10000000000002274</v>
      </c>
      <c r="G10" s="3">
        <f t="shared" si="3"/>
        <v>1.0000000000004547E-2</v>
      </c>
    </row>
    <row r="11" spans="1:15" x14ac:dyDescent="0.3">
      <c r="A11" s="23"/>
      <c r="B11" s="3" t="s">
        <v>313</v>
      </c>
      <c r="C11" s="6">
        <v>621.4</v>
      </c>
      <c r="D11" s="3">
        <f t="shared" si="0"/>
        <v>639.72222222222217</v>
      </c>
      <c r="E11" s="3">
        <f t="shared" si="1"/>
        <v>-18.322222222222194</v>
      </c>
      <c r="F11" s="3">
        <f t="shared" si="2"/>
        <v>18.322222222222194</v>
      </c>
      <c r="G11" s="3">
        <f t="shared" si="3"/>
        <v>335.70382716049284</v>
      </c>
    </row>
    <row r="12" spans="1:15" x14ac:dyDescent="0.3">
      <c r="A12" s="21">
        <v>33</v>
      </c>
      <c r="B12" s="9">
        <v>8</v>
      </c>
      <c r="C12" s="2">
        <v>474.4</v>
      </c>
      <c r="D12" s="3">
        <f>(SUM($C$12:$C$21)-C12)/(COUNT($C$12:$C$21)-1)</f>
        <v>476.55555555555566</v>
      </c>
      <c r="E12" s="3">
        <f>C12-D12</f>
        <v>-2.1555555555556793</v>
      </c>
      <c r="F12" s="3">
        <f t="shared" si="2"/>
        <v>2.1555555555556793</v>
      </c>
      <c r="G12" s="3">
        <f t="shared" si="3"/>
        <v>4.6464197530869535</v>
      </c>
    </row>
    <row r="13" spans="1:15" x14ac:dyDescent="0.3">
      <c r="A13" s="22"/>
      <c r="B13" s="3">
        <v>9</v>
      </c>
      <c r="C13" s="2">
        <v>474.5</v>
      </c>
      <c r="D13" s="3">
        <f t="shared" ref="D13:D21" si="5">(SUM($C$12:$C$21)-C13)/(COUNT($C$12:$C$21)-1)</f>
        <v>476.54444444444448</v>
      </c>
      <c r="E13" s="3">
        <f t="shared" ref="E13:E51" si="6">C13-D13</f>
        <v>-2.0444444444444798</v>
      </c>
      <c r="F13" s="3">
        <f t="shared" si="2"/>
        <v>2.0444444444444798</v>
      </c>
      <c r="G13" s="3">
        <f t="shared" si="3"/>
        <v>4.1797530864198977</v>
      </c>
      <c r="K13" s="4"/>
      <c r="L13" s="4"/>
      <c r="M13" s="4"/>
      <c r="N13" s="4"/>
    </row>
    <row r="14" spans="1:15" x14ac:dyDescent="0.3">
      <c r="A14" s="22"/>
      <c r="B14" s="3">
        <v>10</v>
      </c>
      <c r="C14" s="2">
        <v>478.5</v>
      </c>
      <c r="D14" s="3">
        <f t="shared" si="5"/>
        <v>476.10000000000008</v>
      </c>
      <c r="E14" s="3">
        <f t="shared" si="6"/>
        <v>2.3999999999999204</v>
      </c>
      <c r="F14" s="3">
        <f t="shared" si="2"/>
        <v>2.3999999999999204</v>
      </c>
      <c r="G14" s="3">
        <f t="shared" si="3"/>
        <v>5.7599999999996179</v>
      </c>
      <c r="K14" s="4"/>
      <c r="L14" s="4"/>
      <c r="M14" s="4"/>
      <c r="N14" s="4"/>
    </row>
    <row r="15" spans="1:15" x14ac:dyDescent="0.3">
      <c r="A15" s="22"/>
      <c r="B15" s="3">
        <v>11</v>
      </c>
      <c r="C15" s="2">
        <v>473</v>
      </c>
      <c r="D15" s="3">
        <f t="shared" si="5"/>
        <v>476.71111111111117</v>
      </c>
      <c r="E15" s="3">
        <f t="shared" si="6"/>
        <v>-3.7111111111111654</v>
      </c>
      <c r="F15" s="3">
        <f t="shared" si="2"/>
        <v>3.7111111111111654</v>
      </c>
      <c r="G15" s="3">
        <f t="shared" si="3"/>
        <v>13.77234567901275</v>
      </c>
      <c r="K15" s="4"/>
      <c r="L15" s="4"/>
      <c r="M15" s="4"/>
      <c r="N15" s="4"/>
    </row>
    <row r="16" spans="1:15" x14ac:dyDescent="0.3">
      <c r="A16" s="22"/>
      <c r="B16" s="3">
        <v>12</v>
      </c>
      <c r="C16" s="2">
        <v>472.4</v>
      </c>
      <c r="D16" s="3">
        <f t="shared" si="5"/>
        <v>476.77777777777789</v>
      </c>
      <c r="E16" s="3">
        <f t="shared" si="6"/>
        <v>-4.3777777777779079</v>
      </c>
      <c r="F16" s="3">
        <f t="shared" si="2"/>
        <v>4.3777777777779079</v>
      </c>
      <c r="G16" s="3">
        <f t="shared" si="3"/>
        <v>19.164938271606079</v>
      </c>
      <c r="K16" s="4"/>
      <c r="L16" s="4"/>
      <c r="M16" s="4"/>
      <c r="N16" s="4"/>
    </row>
    <row r="17" spans="1:14" x14ac:dyDescent="0.3">
      <c r="A17" s="22"/>
      <c r="B17" s="3">
        <v>16</v>
      </c>
      <c r="C17" s="2">
        <v>472.8</v>
      </c>
      <c r="D17" s="3">
        <f t="shared" si="5"/>
        <v>476.73333333333335</v>
      </c>
      <c r="E17" s="3">
        <f t="shared" si="6"/>
        <v>-3.9333333333333371</v>
      </c>
      <c r="F17" s="3">
        <f t="shared" si="2"/>
        <v>3.9333333333333371</v>
      </c>
      <c r="G17" s="3">
        <f t="shared" si="3"/>
        <v>15.47111111111114</v>
      </c>
      <c r="K17" s="4"/>
      <c r="L17" s="4"/>
      <c r="M17" s="4"/>
      <c r="N17" s="4"/>
    </row>
    <row r="18" spans="1:14" x14ac:dyDescent="0.3">
      <c r="A18" s="22"/>
      <c r="B18" s="3">
        <v>20</v>
      </c>
      <c r="C18" s="2">
        <v>473.1</v>
      </c>
      <c r="D18" s="3">
        <f t="shared" si="5"/>
        <v>476.70000000000005</v>
      </c>
      <c r="E18" s="3">
        <f t="shared" si="6"/>
        <v>-3.6000000000000227</v>
      </c>
      <c r="F18" s="3">
        <f t="shared" si="2"/>
        <v>3.6000000000000227</v>
      </c>
      <c r="G18" s="3">
        <f t="shared" si="3"/>
        <v>12.960000000000164</v>
      </c>
    </row>
    <row r="19" spans="1:14" x14ac:dyDescent="0.3">
      <c r="A19" s="22"/>
      <c r="B19" s="3">
        <v>0</v>
      </c>
      <c r="C19" s="2">
        <v>486</v>
      </c>
      <c r="D19" s="3">
        <f t="shared" si="5"/>
        <v>475.26666666666671</v>
      </c>
      <c r="E19" s="3">
        <f t="shared" si="6"/>
        <v>10.733333333333292</v>
      </c>
      <c r="F19" s="3">
        <f t="shared" si="2"/>
        <v>10.733333333333292</v>
      </c>
      <c r="G19" s="3">
        <f t="shared" si="3"/>
        <v>115.20444444444355</v>
      </c>
    </row>
    <row r="20" spans="1:14" x14ac:dyDescent="0.3">
      <c r="A20" s="22"/>
      <c r="B20" s="3" t="s">
        <v>312</v>
      </c>
      <c r="C20" s="6">
        <v>479.2</v>
      </c>
      <c r="D20" s="3">
        <f t="shared" si="5"/>
        <v>476.0222222222223</v>
      </c>
      <c r="E20" s="3">
        <f t="shared" si="6"/>
        <v>3.1777777777776919</v>
      </c>
      <c r="F20" s="3">
        <f t="shared" si="2"/>
        <v>3.1777777777776919</v>
      </c>
      <c r="G20" s="3">
        <f t="shared" si="3"/>
        <v>10.098271604937725</v>
      </c>
    </row>
    <row r="21" spans="1:14" x14ac:dyDescent="0.3">
      <c r="A21" s="23"/>
      <c r="B21" s="3" t="s">
        <v>313</v>
      </c>
      <c r="C21" s="6">
        <v>479.5</v>
      </c>
      <c r="D21" s="3">
        <f t="shared" si="5"/>
        <v>475.98888888888894</v>
      </c>
      <c r="E21" s="3">
        <f t="shared" si="6"/>
        <v>3.5111111111110631</v>
      </c>
      <c r="F21" s="3">
        <f t="shared" si="2"/>
        <v>3.5111111111110631</v>
      </c>
      <c r="G21" s="3">
        <f t="shared" si="3"/>
        <v>12.327901234567564</v>
      </c>
    </row>
    <row r="22" spans="1:14" x14ac:dyDescent="0.3">
      <c r="A22" s="21">
        <v>46</v>
      </c>
      <c r="B22" s="9">
        <v>8</v>
      </c>
      <c r="C22" s="2">
        <v>474.5</v>
      </c>
      <c r="D22" s="3">
        <f>(SUM($C$22:$C$31)-C22)/(COUNT($C$22:$C$31)-1)</f>
        <v>473.82222222222219</v>
      </c>
      <c r="E22" s="3">
        <f t="shared" si="6"/>
        <v>0.67777777777780557</v>
      </c>
      <c r="F22" s="3">
        <f t="shared" si="2"/>
        <v>0.67777777777780557</v>
      </c>
      <c r="G22" s="3">
        <f t="shared" si="3"/>
        <v>0.45938271604942038</v>
      </c>
    </row>
    <row r="23" spans="1:14" x14ac:dyDescent="0.3">
      <c r="A23" s="22"/>
      <c r="B23" s="3">
        <v>9</v>
      </c>
      <c r="C23" s="2">
        <v>472.8</v>
      </c>
      <c r="D23" s="3">
        <f t="shared" ref="D23:D31" si="7">(SUM($C$22:$C$31)-C23)/(COUNT($C$22:$C$31)-1)</f>
        <v>474.01111111111106</v>
      </c>
      <c r="E23" s="3">
        <f t="shared" si="6"/>
        <v>-1.2111111111110517</v>
      </c>
      <c r="F23" s="3">
        <f t="shared" si="2"/>
        <v>1.2111111111110517</v>
      </c>
      <c r="G23" s="3">
        <f t="shared" si="3"/>
        <v>1.4667901234566463</v>
      </c>
    </row>
    <row r="24" spans="1:14" x14ac:dyDescent="0.3">
      <c r="A24" s="22"/>
      <c r="B24" s="3">
        <v>10</v>
      </c>
      <c r="C24" s="2">
        <v>474.3</v>
      </c>
      <c r="D24" s="3">
        <f t="shared" si="7"/>
        <v>473.84444444444438</v>
      </c>
      <c r="E24" s="3">
        <f t="shared" si="6"/>
        <v>0.45555555555563387</v>
      </c>
      <c r="F24" s="3">
        <f t="shared" si="2"/>
        <v>0.45555555555563387</v>
      </c>
      <c r="G24" s="3">
        <f t="shared" si="3"/>
        <v>0.20753086419760222</v>
      </c>
    </row>
    <row r="25" spans="1:14" x14ac:dyDescent="0.3">
      <c r="A25" s="22"/>
      <c r="B25" s="3">
        <v>11</v>
      </c>
      <c r="C25" s="2">
        <v>474</v>
      </c>
      <c r="D25" s="3">
        <f t="shared" si="7"/>
        <v>473.87777777777774</v>
      </c>
      <c r="E25" s="3">
        <f t="shared" si="6"/>
        <v>0.12222222222226264</v>
      </c>
      <c r="F25" s="3">
        <f t="shared" si="2"/>
        <v>0.12222222222226264</v>
      </c>
      <c r="G25" s="3">
        <f t="shared" si="3"/>
        <v>1.4938271604948152E-2</v>
      </c>
    </row>
    <row r="26" spans="1:14" x14ac:dyDescent="0.3">
      <c r="A26" s="22"/>
      <c r="B26" s="3">
        <v>12</v>
      </c>
      <c r="C26" s="2">
        <v>470.4</v>
      </c>
      <c r="D26" s="3">
        <f t="shared" si="7"/>
        <v>474.27777777777777</v>
      </c>
      <c r="E26" s="3">
        <f t="shared" si="6"/>
        <v>-3.8777777777777942</v>
      </c>
      <c r="F26" s="3">
        <f t="shared" si="2"/>
        <v>3.8777777777777942</v>
      </c>
      <c r="G26" s="3">
        <f t="shared" si="3"/>
        <v>15.037160493827288</v>
      </c>
    </row>
    <row r="27" spans="1:14" x14ac:dyDescent="0.3">
      <c r="A27" s="22"/>
      <c r="B27" s="3">
        <v>16</v>
      </c>
      <c r="C27" s="2">
        <v>474.1</v>
      </c>
      <c r="D27" s="3">
        <f t="shared" si="7"/>
        <v>473.86666666666656</v>
      </c>
      <c r="E27" s="3">
        <f t="shared" si="6"/>
        <v>0.23333333333346218</v>
      </c>
      <c r="F27" s="3">
        <f t="shared" si="2"/>
        <v>0.23333333333346218</v>
      </c>
      <c r="G27" s="3">
        <f t="shared" si="3"/>
        <v>5.4444444444504574E-2</v>
      </c>
    </row>
    <row r="28" spans="1:14" x14ac:dyDescent="0.3">
      <c r="A28" s="22"/>
      <c r="B28" s="3">
        <v>20</v>
      </c>
      <c r="C28" s="2">
        <v>470.7</v>
      </c>
      <c r="D28" s="3">
        <f t="shared" si="7"/>
        <v>474.24444444444441</v>
      </c>
      <c r="E28" s="3">
        <f t="shared" si="6"/>
        <v>-3.544444444444423</v>
      </c>
      <c r="F28" s="3">
        <f t="shared" si="2"/>
        <v>3.544444444444423</v>
      </c>
      <c r="G28" s="3">
        <f t="shared" si="3"/>
        <v>12.563086419752935</v>
      </c>
    </row>
    <row r="29" spans="1:14" x14ac:dyDescent="0.3">
      <c r="A29" s="22"/>
      <c r="B29" s="3">
        <v>0</v>
      </c>
      <c r="C29" s="2">
        <v>469.6</v>
      </c>
      <c r="D29" s="3">
        <f t="shared" si="7"/>
        <v>474.36666666666656</v>
      </c>
      <c r="E29" s="3">
        <f t="shared" si="6"/>
        <v>-4.7666666666665378</v>
      </c>
      <c r="F29" s="3">
        <f t="shared" si="2"/>
        <v>4.7666666666665378</v>
      </c>
      <c r="G29" s="3">
        <f t="shared" si="3"/>
        <v>22.721111111109884</v>
      </c>
    </row>
    <row r="30" spans="1:14" x14ac:dyDescent="0.3">
      <c r="A30" s="22"/>
      <c r="B30" s="3" t="s">
        <v>312</v>
      </c>
      <c r="C30" s="6">
        <v>475.2</v>
      </c>
      <c r="D30" s="3">
        <f t="shared" si="7"/>
        <v>473.74444444444441</v>
      </c>
      <c r="E30" s="3">
        <f t="shared" si="6"/>
        <v>1.455555555555577</v>
      </c>
      <c r="F30" s="3">
        <f t="shared" si="2"/>
        <v>1.455555555555577</v>
      </c>
      <c r="G30" s="3">
        <f t="shared" si="3"/>
        <v>2.1186419753087047</v>
      </c>
    </row>
    <row r="31" spans="1:14" x14ac:dyDescent="0.3">
      <c r="A31" s="23"/>
      <c r="B31" s="3" t="s">
        <v>313</v>
      </c>
      <c r="C31" s="6">
        <v>483.3</v>
      </c>
      <c r="D31" s="3">
        <f t="shared" si="7"/>
        <v>472.84444444444438</v>
      </c>
      <c r="E31" s="3">
        <f t="shared" si="6"/>
        <v>10.455555555555634</v>
      </c>
      <c r="F31" s="3">
        <f t="shared" si="2"/>
        <v>10.455555555555634</v>
      </c>
      <c r="G31" s="3">
        <f t="shared" si="3"/>
        <v>109.31864197531029</v>
      </c>
    </row>
    <row r="32" spans="1:14" x14ac:dyDescent="0.3">
      <c r="A32" s="21" t="s">
        <v>309</v>
      </c>
      <c r="B32" s="3">
        <v>8</v>
      </c>
      <c r="C32" s="2">
        <v>473.6</v>
      </c>
      <c r="D32" s="3">
        <f>(SUM($C$32:$C$41)-C32)/(COUNT($C$32:$C$41)-1)</f>
        <v>474.04444444444442</v>
      </c>
      <c r="E32" s="3">
        <f t="shared" si="6"/>
        <v>-0.44444444444440023</v>
      </c>
      <c r="F32" s="3">
        <f t="shared" si="2"/>
        <v>0.44444444444440023</v>
      </c>
      <c r="G32" s="3">
        <f t="shared" si="3"/>
        <v>0.19753086419749155</v>
      </c>
    </row>
    <row r="33" spans="1:7" x14ac:dyDescent="0.3">
      <c r="A33" s="22"/>
      <c r="B33" s="3">
        <v>9</v>
      </c>
      <c r="C33" s="2">
        <v>470.3</v>
      </c>
      <c r="D33" s="3">
        <f t="shared" ref="D33:D41" si="8">(SUM($C$32:$C$41)-C33)/(COUNT($C$32:$C$41)-1)</f>
        <v>474.4111111111111</v>
      </c>
      <c r="E33" s="3">
        <f t="shared" si="6"/>
        <v>-4.1111111111110858</v>
      </c>
      <c r="F33" s="3">
        <f t="shared" si="2"/>
        <v>4.1111111111110858</v>
      </c>
      <c r="G33" s="3">
        <f t="shared" si="3"/>
        <v>16.901234567901028</v>
      </c>
    </row>
    <row r="34" spans="1:7" x14ac:dyDescent="0.3">
      <c r="A34" s="22"/>
      <c r="B34" s="3">
        <v>10</v>
      </c>
      <c r="C34" s="2">
        <v>482.5</v>
      </c>
      <c r="D34" s="3">
        <f t="shared" si="8"/>
        <v>473.05555555555554</v>
      </c>
      <c r="E34" s="3">
        <f t="shared" si="6"/>
        <v>9.4444444444444571</v>
      </c>
      <c r="F34" s="3">
        <f t="shared" si="2"/>
        <v>9.4444444444444571</v>
      </c>
      <c r="G34" s="3">
        <f t="shared" si="3"/>
        <v>89.197530864197773</v>
      </c>
    </row>
    <row r="35" spans="1:7" x14ac:dyDescent="0.3">
      <c r="A35" s="22"/>
      <c r="B35" s="3">
        <v>11</v>
      </c>
      <c r="C35" s="2">
        <v>471</v>
      </c>
      <c r="D35" s="3">
        <f t="shared" si="8"/>
        <v>474.33333333333331</v>
      </c>
      <c r="E35" s="3">
        <f t="shared" si="6"/>
        <v>-3.3333333333333144</v>
      </c>
      <c r="F35" s="3">
        <f t="shared" si="2"/>
        <v>3.3333333333333144</v>
      </c>
      <c r="G35" s="3">
        <f t="shared" si="3"/>
        <v>11.111111111110985</v>
      </c>
    </row>
    <row r="36" spans="1:7" x14ac:dyDescent="0.3">
      <c r="A36" s="22"/>
      <c r="B36" s="3">
        <v>12</v>
      </c>
      <c r="C36" s="2">
        <v>467.4</v>
      </c>
      <c r="D36" s="3">
        <f t="shared" si="8"/>
        <v>474.73333333333335</v>
      </c>
      <c r="E36" s="3">
        <f t="shared" si="6"/>
        <v>-7.3333333333333712</v>
      </c>
      <c r="F36" s="3">
        <f t="shared" si="2"/>
        <v>7.3333333333333712</v>
      </c>
      <c r="G36" s="3">
        <f t="shared" si="3"/>
        <v>53.777777777778333</v>
      </c>
    </row>
    <row r="37" spans="1:7" x14ac:dyDescent="0.3">
      <c r="A37" s="22"/>
      <c r="B37" s="3">
        <v>16</v>
      </c>
      <c r="C37" s="2">
        <v>474.8</v>
      </c>
      <c r="D37" s="3">
        <f t="shared" si="8"/>
        <v>473.9111111111111</v>
      </c>
      <c r="E37" s="3">
        <f t="shared" si="6"/>
        <v>0.88888888888891415</v>
      </c>
      <c r="F37" s="3">
        <f t="shared" si="2"/>
        <v>0.88888888888891415</v>
      </c>
      <c r="G37" s="3">
        <f t="shared" si="3"/>
        <v>0.79012345679016838</v>
      </c>
    </row>
    <row r="38" spans="1:7" x14ac:dyDescent="0.3">
      <c r="A38" s="22"/>
      <c r="B38" s="3">
        <v>20</v>
      </c>
      <c r="C38" s="2">
        <v>470.7</v>
      </c>
      <c r="D38" s="3">
        <f t="shared" si="8"/>
        <v>474.36666666666667</v>
      </c>
      <c r="E38" s="3">
        <f t="shared" si="6"/>
        <v>-3.6666666666666856</v>
      </c>
      <c r="F38" s="3">
        <f t="shared" si="2"/>
        <v>3.6666666666666856</v>
      </c>
      <c r="G38" s="3">
        <f t="shared" si="3"/>
        <v>13.444444444444583</v>
      </c>
    </row>
    <row r="39" spans="1:7" x14ac:dyDescent="0.3">
      <c r="A39" s="22"/>
      <c r="B39" s="3">
        <v>0</v>
      </c>
      <c r="C39" s="2">
        <v>472.9</v>
      </c>
      <c r="D39" s="3">
        <f t="shared" si="8"/>
        <v>474.12222222222226</v>
      </c>
      <c r="E39" s="3">
        <f t="shared" si="6"/>
        <v>-1.2222222222222854</v>
      </c>
      <c r="F39" s="3">
        <f t="shared" si="2"/>
        <v>1.2222222222222854</v>
      </c>
      <c r="G39" s="3">
        <f t="shared" si="3"/>
        <v>1.4938271604939815</v>
      </c>
    </row>
    <row r="40" spans="1:7" x14ac:dyDescent="0.3">
      <c r="A40" s="22"/>
      <c r="B40" s="3" t="s">
        <v>312</v>
      </c>
      <c r="C40" s="6">
        <v>477.3</v>
      </c>
      <c r="D40" s="3">
        <f t="shared" si="8"/>
        <v>473.63333333333333</v>
      </c>
      <c r="E40" s="3">
        <f t="shared" si="6"/>
        <v>3.6666666666666856</v>
      </c>
      <c r="F40" s="3">
        <f t="shared" si="2"/>
        <v>3.6666666666666856</v>
      </c>
      <c r="G40" s="3">
        <f t="shared" si="3"/>
        <v>13.444444444444583</v>
      </c>
    </row>
    <row r="41" spans="1:7" x14ac:dyDescent="0.3">
      <c r="A41" s="23"/>
      <c r="B41" s="3" t="s">
        <v>313</v>
      </c>
      <c r="C41" s="6">
        <v>479.5</v>
      </c>
      <c r="D41" s="3">
        <f t="shared" si="8"/>
        <v>473.38888888888891</v>
      </c>
      <c r="E41" s="3">
        <f t="shared" si="6"/>
        <v>6.1111111111110858</v>
      </c>
      <c r="F41" s="3">
        <f t="shared" si="2"/>
        <v>6.1111111111110858</v>
      </c>
      <c r="G41" s="3">
        <f t="shared" si="3"/>
        <v>37.345679012345371</v>
      </c>
    </row>
    <row r="42" spans="1:7" x14ac:dyDescent="0.3">
      <c r="A42" s="21" t="s">
        <v>310</v>
      </c>
      <c r="B42" s="3">
        <v>8</v>
      </c>
      <c r="C42" s="2">
        <v>479.9</v>
      </c>
      <c r="D42" s="3">
        <f>(SUM($C$42:$C$51)-C42)/(COUNT($C$42:$C$51)-1)</f>
        <v>480.5</v>
      </c>
      <c r="E42" s="3">
        <f t="shared" si="6"/>
        <v>-0.60000000000002274</v>
      </c>
      <c r="F42" s="3">
        <f t="shared" si="2"/>
        <v>0.60000000000002274</v>
      </c>
      <c r="G42" s="3">
        <f t="shared" si="3"/>
        <v>0.3600000000000273</v>
      </c>
    </row>
    <row r="43" spans="1:7" x14ac:dyDescent="0.3">
      <c r="A43" s="22"/>
      <c r="B43" s="3">
        <v>9</v>
      </c>
      <c r="C43" s="2">
        <v>479</v>
      </c>
      <c r="D43" s="3">
        <f t="shared" ref="D43:D51" si="9">(SUM($C$42:$C$51)-C43)/(COUNT($C$42:$C$51)-1)</f>
        <v>480.59999999999997</v>
      </c>
      <c r="E43" s="3">
        <f t="shared" si="6"/>
        <v>-1.5999999999999659</v>
      </c>
      <c r="F43" s="3">
        <f t="shared" si="2"/>
        <v>1.5999999999999659</v>
      </c>
      <c r="G43" s="3">
        <f t="shared" si="3"/>
        <v>2.5599999999998908</v>
      </c>
    </row>
    <row r="44" spans="1:7" x14ac:dyDescent="0.3">
      <c r="A44" s="22"/>
      <c r="B44" s="3">
        <v>10</v>
      </c>
      <c r="C44" s="2">
        <v>479.6</v>
      </c>
      <c r="D44" s="3">
        <f t="shared" si="9"/>
        <v>480.53333333333325</v>
      </c>
      <c r="E44" s="3">
        <f t="shared" si="6"/>
        <v>-0.93333333333322344</v>
      </c>
      <c r="F44" s="3">
        <f t="shared" si="2"/>
        <v>0.93333333333322344</v>
      </c>
      <c r="G44" s="3">
        <f t="shared" si="3"/>
        <v>0.871111111110906</v>
      </c>
    </row>
    <row r="45" spans="1:7" x14ac:dyDescent="0.3">
      <c r="A45" s="22"/>
      <c r="B45" s="3">
        <v>11</v>
      </c>
      <c r="C45" s="2">
        <v>480.1</v>
      </c>
      <c r="D45" s="3">
        <f t="shared" si="9"/>
        <v>480.4777777777777</v>
      </c>
      <c r="E45" s="3">
        <f t="shared" si="6"/>
        <v>-0.37777777777768051</v>
      </c>
      <c r="F45" s="3">
        <f t="shared" si="2"/>
        <v>0.37777777777768051</v>
      </c>
      <c r="G45" s="3">
        <f t="shared" si="3"/>
        <v>0.14271604938264257</v>
      </c>
    </row>
    <row r="46" spans="1:7" x14ac:dyDescent="0.3">
      <c r="A46" s="22"/>
      <c r="B46" s="3">
        <v>12</v>
      </c>
      <c r="C46" s="2">
        <v>480.4</v>
      </c>
      <c r="D46" s="3">
        <f t="shared" si="9"/>
        <v>480.44444444444446</v>
      </c>
      <c r="E46" s="3">
        <f t="shared" si="6"/>
        <v>-4.4444444444479814E-2</v>
      </c>
      <c r="F46" s="3">
        <f t="shared" si="2"/>
        <v>4.4444444444479814E-2</v>
      </c>
      <c r="G46" s="3">
        <f t="shared" si="3"/>
        <v>1.9753086419784524E-3</v>
      </c>
    </row>
    <row r="47" spans="1:7" x14ac:dyDescent="0.3">
      <c r="A47" s="22"/>
      <c r="B47" s="3">
        <v>16</v>
      </c>
      <c r="C47" s="2">
        <v>480.7</v>
      </c>
      <c r="D47" s="3">
        <f t="shared" si="9"/>
        <v>480.4111111111111</v>
      </c>
      <c r="E47" s="3">
        <f t="shared" si="6"/>
        <v>0.28888888888889142</v>
      </c>
      <c r="F47" s="3">
        <f t="shared" si="2"/>
        <v>0.28888888888889142</v>
      </c>
      <c r="G47" s="3">
        <f t="shared" si="3"/>
        <v>8.3456790123458247E-2</v>
      </c>
    </row>
    <row r="48" spans="1:7" x14ac:dyDescent="0.3">
      <c r="A48" s="22"/>
      <c r="B48" s="3">
        <v>20</v>
      </c>
      <c r="C48" s="2">
        <v>479.2</v>
      </c>
      <c r="D48" s="3">
        <f t="shared" si="9"/>
        <v>480.57777777777778</v>
      </c>
      <c r="E48" s="3">
        <f t="shared" si="6"/>
        <v>-1.3777777777777942</v>
      </c>
      <c r="F48" s="3">
        <f t="shared" si="2"/>
        <v>1.3777777777777942</v>
      </c>
      <c r="G48" s="3">
        <f t="shared" si="3"/>
        <v>1.8982716049383168</v>
      </c>
    </row>
    <row r="49" spans="1:7" x14ac:dyDescent="0.3">
      <c r="A49" s="22"/>
      <c r="B49" s="3">
        <v>0</v>
      </c>
      <c r="C49" s="2">
        <v>481.2</v>
      </c>
      <c r="D49" s="3">
        <f t="shared" si="9"/>
        <v>480.35555555555555</v>
      </c>
      <c r="E49" s="3">
        <f t="shared" si="6"/>
        <v>0.84444444444443434</v>
      </c>
      <c r="F49" s="3">
        <f t="shared" si="2"/>
        <v>0.84444444444443434</v>
      </c>
      <c r="G49" s="3">
        <f t="shared" si="3"/>
        <v>0.7130864197530693</v>
      </c>
    </row>
    <row r="50" spans="1:7" x14ac:dyDescent="0.3">
      <c r="A50" s="22"/>
      <c r="B50" s="3" t="s">
        <v>312</v>
      </c>
      <c r="C50" s="6">
        <v>484.3</v>
      </c>
      <c r="D50" s="3">
        <f t="shared" si="9"/>
        <v>480.01111111111106</v>
      </c>
      <c r="E50" s="3">
        <f t="shared" si="6"/>
        <v>4.2888888888889483</v>
      </c>
      <c r="F50" s="3">
        <f t="shared" si="2"/>
        <v>4.2888888888889483</v>
      </c>
      <c r="G50" s="3">
        <f t="shared" si="3"/>
        <v>18.394567901235078</v>
      </c>
    </row>
    <row r="51" spans="1:7" x14ac:dyDescent="0.3">
      <c r="A51" s="23"/>
      <c r="B51" s="3" t="s">
        <v>313</v>
      </c>
      <c r="C51" s="6">
        <v>480</v>
      </c>
      <c r="D51" s="3">
        <f t="shared" si="9"/>
        <v>480.48888888888882</v>
      </c>
      <c r="E51" s="3">
        <f t="shared" si="6"/>
        <v>-0.4888888888888232</v>
      </c>
      <c r="F51" s="3">
        <f t="shared" si="2"/>
        <v>0.4888888888888232</v>
      </c>
      <c r="G51" s="3">
        <f t="shared" si="3"/>
        <v>0.23901234567894811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1AAB-ACDF-4EB6-A0B4-9ADC0A5E55CD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12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306</v>
      </c>
      <c r="D1" s="10" t="s">
        <v>326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0.23699999999999999</v>
      </c>
      <c r="D2" s="3">
        <f>(SUM($C$2:$C$11)-C2)/(COUNT($C$2:$C$11)-1)</f>
        <v>0.34211111111111109</v>
      </c>
      <c r="E2" s="3">
        <f>C2-D2</f>
        <v>-0.1051111111111111</v>
      </c>
      <c r="F2" s="3">
        <f>ABS(E2)</f>
        <v>0.1051111111111111</v>
      </c>
      <c r="G2" s="3">
        <f>E2^2</f>
        <v>1.1048345679012344E-2</v>
      </c>
    </row>
    <row r="3" spans="1:15" x14ac:dyDescent="0.3">
      <c r="A3" s="22"/>
      <c r="B3" s="3">
        <v>9</v>
      </c>
      <c r="C3" s="2">
        <v>0.34499999999999997</v>
      </c>
      <c r="D3" s="3">
        <f t="shared" ref="D3:D11" si="0">(SUM($C$2:$C$11)-C3)/(COUNT($C$2:$C$11)-1)</f>
        <v>0.33011111111111113</v>
      </c>
      <c r="E3" s="3">
        <f t="shared" ref="E3:E11" si="1">C3-D3</f>
        <v>1.488888888888884E-2</v>
      </c>
      <c r="F3" s="3">
        <f t="shared" ref="F3:F51" si="2">ABS(E3)</f>
        <v>1.488888888888884E-2</v>
      </c>
      <c r="G3" s="3">
        <f t="shared" ref="G3:G51" si="3">E3^2</f>
        <v>2.2167901234567756E-4</v>
      </c>
    </row>
    <row r="4" spans="1:15" x14ac:dyDescent="0.3">
      <c r="A4" s="22"/>
      <c r="B4" s="3">
        <v>10</v>
      </c>
      <c r="C4" s="2">
        <v>0.34300000000000003</v>
      </c>
      <c r="D4" s="3">
        <f t="shared" si="0"/>
        <v>0.33033333333333331</v>
      </c>
      <c r="E4" s="3">
        <f t="shared" si="1"/>
        <v>1.2666666666666715E-2</v>
      </c>
      <c r="F4" s="3">
        <f t="shared" si="2"/>
        <v>1.2666666666666715E-2</v>
      </c>
      <c r="G4" s="3">
        <f t="shared" si="3"/>
        <v>1.6044444444444567E-4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0.34300000000000003</v>
      </c>
      <c r="D5" s="3">
        <f t="shared" si="0"/>
        <v>0.33033333333333331</v>
      </c>
      <c r="E5" s="3">
        <f t="shared" si="1"/>
        <v>1.2666666666666715E-2</v>
      </c>
      <c r="F5" s="3">
        <f t="shared" si="2"/>
        <v>1.2666666666666715E-2</v>
      </c>
      <c r="G5" s="3">
        <f t="shared" si="3"/>
        <v>1.6044444444444567E-4</v>
      </c>
      <c r="J5" s="2" t="s">
        <v>297</v>
      </c>
      <c r="K5" s="3">
        <f>AVERAGE(E6:E11)</f>
        <v>1.0814814814814833E-2</v>
      </c>
      <c r="L5" s="3">
        <f>AVERAGE(F6:F11)</f>
        <v>1.0814814814814833E-2</v>
      </c>
      <c r="M5" s="3">
        <f>AVERAGE(G6:G11)</f>
        <v>1.365761316872431E-4</v>
      </c>
      <c r="N5" s="3">
        <f>SQRT(M5)</f>
        <v>1.1686579126812221E-2</v>
      </c>
      <c r="O5" s="3">
        <f>N5/AVERAGE(C6:C11)*100</f>
        <v>3.4238024785582679</v>
      </c>
    </row>
    <row r="6" spans="1:15" x14ac:dyDescent="0.3">
      <c r="A6" s="22"/>
      <c r="B6" s="3">
        <v>12</v>
      </c>
      <c r="C6" s="2">
        <v>0.34399999999999997</v>
      </c>
      <c r="D6" s="3">
        <f t="shared" si="0"/>
        <v>0.33022222222222219</v>
      </c>
      <c r="E6" s="3">
        <f t="shared" si="1"/>
        <v>1.3777777777777778E-2</v>
      </c>
      <c r="F6" s="3">
        <f t="shared" si="2"/>
        <v>1.3777777777777778E-2</v>
      </c>
      <c r="G6" s="3">
        <f t="shared" si="3"/>
        <v>1.8982716049382716E-4</v>
      </c>
      <c r="J6" s="2">
        <v>33</v>
      </c>
      <c r="K6" s="3">
        <f>AVERAGE(E16:E21)</f>
        <v>3.1249999999999334E-4</v>
      </c>
      <c r="L6" s="3">
        <f>AVERAGE(F16:F21)</f>
        <v>2.8124999999999956E-3</v>
      </c>
      <c r="M6" s="3">
        <f>AVERAGE(G16:G21)</f>
        <v>1.0960937500000006E-5</v>
      </c>
      <c r="N6" s="3">
        <f t="shared" ref="N6:N9" si="4">SQRT(M6)</f>
        <v>3.3107306595372577E-3</v>
      </c>
      <c r="O6" s="3">
        <f>N6/AVERAGE(C16:C21)*100</f>
        <v>1.2957849939480461</v>
      </c>
    </row>
    <row r="7" spans="1:15" x14ac:dyDescent="0.3">
      <c r="A7" s="22"/>
      <c r="B7" s="3">
        <v>16</v>
      </c>
      <c r="C7" s="2">
        <v>0.34300000000000003</v>
      </c>
      <c r="D7" s="3">
        <f t="shared" si="0"/>
        <v>0.33033333333333331</v>
      </c>
      <c r="E7" s="3">
        <f t="shared" si="1"/>
        <v>1.2666666666666715E-2</v>
      </c>
      <c r="F7" s="3">
        <f t="shared" si="2"/>
        <v>1.2666666666666715E-2</v>
      </c>
      <c r="G7" s="3">
        <f t="shared" si="3"/>
        <v>1.6044444444444567E-4</v>
      </c>
      <c r="J7" s="2">
        <v>46</v>
      </c>
      <c r="K7" s="3">
        <f>AVERAGE(E26:E31)</f>
        <v>1.2500000000005099E-4</v>
      </c>
      <c r="L7" s="3">
        <f>AVERAGE(F26:F31)</f>
        <v>2.2499999999999834E-3</v>
      </c>
      <c r="M7" s="3">
        <f>AVERAGE(G26:G31)</f>
        <v>8.0312499999999326E-6</v>
      </c>
      <c r="N7" s="3">
        <f t="shared" si="4"/>
        <v>2.8339460121886467E-3</v>
      </c>
      <c r="O7" s="3">
        <f>N7/AVERAGE(C26:C31)*100</f>
        <v>1.115726776452223</v>
      </c>
    </row>
    <row r="8" spans="1:15" x14ac:dyDescent="0.3">
      <c r="A8" s="22"/>
      <c r="B8" s="3">
        <v>20</v>
      </c>
      <c r="C8" s="2">
        <v>0.34399999999999997</v>
      </c>
      <c r="D8" s="3">
        <f t="shared" si="0"/>
        <v>0.33022222222222219</v>
      </c>
      <c r="E8" s="3">
        <f t="shared" si="1"/>
        <v>1.3777777777777778E-2</v>
      </c>
      <c r="F8" s="3">
        <f t="shared" si="2"/>
        <v>1.3777777777777778E-2</v>
      </c>
      <c r="G8" s="3">
        <f t="shared" si="3"/>
        <v>1.8982716049382716E-4</v>
      </c>
      <c r="J8" s="2" t="s">
        <v>309</v>
      </c>
      <c r="K8" s="3">
        <f>AVERAGE(E36:E41)</f>
        <v>-3.7037037037037274E-4</v>
      </c>
      <c r="L8" s="3">
        <f>AVERAGE(F36:F41)</f>
        <v>1.8518518518518638E-3</v>
      </c>
      <c r="M8" s="3">
        <f>AVERAGE(G36:G41)</f>
        <v>4.9382716049383352E-6</v>
      </c>
      <c r="N8" s="3">
        <f t="shared" si="4"/>
        <v>2.2222222222222365E-3</v>
      </c>
      <c r="O8" s="3">
        <f>N8/AVERAGE(C36:C41)*100</f>
        <v>0.87604029785370674</v>
      </c>
    </row>
    <row r="9" spans="1:15" x14ac:dyDescent="0.3">
      <c r="A9" s="22"/>
      <c r="B9" s="3">
        <v>0</v>
      </c>
      <c r="C9" s="2">
        <v>0.34399999999999997</v>
      </c>
      <c r="D9" s="3">
        <f t="shared" si="0"/>
        <v>0.33022222222222219</v>
      </c>
      <c r="E9" s="3">
        <f t="shared" si="1"/>
        <v>1.3777777777777778E-2</v>
      </c>
      <c r="F9" s="3">
        <f t="shared" si="2"/>
        <v>1.3777777777777778E-2</v>
      </c>
      <c r="G9" s="3">
        <f t="shared" si="3"/>
        <v>1.8982716049382716E-4</v>
      </c>
      <c r="J9" s="2" t="s">
        <v>310</v>
      </c>
      <c r="K9" s="3">
        <f>AVERAGE(E46:E51)</f>
        <v>4.4444444444446951E-4</v>
      </c>
      <c r="L9" s="3">
        <f>AVERAGE(F46:F51)</f>
        <v>8.8888888888890205E-4</v>
      </c>
      <c r="M9" s="3">
        <f>AVERAGE(G46:G51)</f>
        <v>1.4320987654321368E-6</v>
      </c>
      <c r="N9" s="3">
        <f t="shared" si="4"/>
        <v>1.1967032904743502E-3</v>
      </c>
      <c r="O9" s="3">
        <f>N9/AVERAGE(C46:C51)*100</f>
        <v>0.46383848467998073</v>
      </c>
    </row>
    <row r="10" spans="1:15" x14ac:dyDescent="0.3">
      <c r="A10" s="22"/>
      <c r="B10" s="3" t="s">
        <v>312</v>
      </c>
      <c r="C10" s="7">
        <v>0.34</v>
      </c>
      <c r="D10" s="3">
        <f t="shared" si="0"/>
        <v>0.33066666666666666</v>
      </c>
      <c r="E10" s="3">
        <f t="shared" si="1"/>
        <v>9.3333333333333601E-3</v>
      </c>
      <c r="F10" s="3">
        <f t="shared" si="2"/>
        <v>9.3333333333333601E-3</v>
      </c>
      <c r="G10" s="3">
        <f t="shared" si="3"/>
        <v>8.7111111111111617E-5</v>
      </c>
    </row>
    <row r="11" spans="1:15" x14ac:dyDescent="0.3">
      <c r="A11" s="23"/>
      <c r="B11" s="3" t="s">
        <v>313</v>
      </c>
      <c r="C11" s="7">
        <v>0.33300000000000002</v>
      </c>
      <c r="D11" s="3">
        <f t="shared" si="0"/>
        <v>0.33144444444444443</v>
      </c>
      <c r="E11" s="3">
        <f t="shared" si="1"/>
        <v>1.5555555555555878E-3</v>
      </c>
      <c r="F11" s="3">
        <f t="shared" si="2"/>
        <v>1.5555555555555878E-3</v>
      </c>
      <c r="G11" s="3">
        <f t="shared" si="3"/>
        <v>2.4197530864198534E-6</v>
      </c>
    </row>
    <row r="12" spans="1:15" x14ac:dyDescent="0.3">
      <c r="A12" s="21">
        <v>33</v>
      </c>
      <c r="B12" s="9">
        <v>8</v>
      </c>
      <c r="C12" s="8"/>
      <c r="D12" s="3">
        <f>(SUM($C$12:$C$21)-C12)/(COUNT($C$12:$C$21)-1)</f>
        <v>0.28712500000000002</v>
      </c>
      <c r="E12" s="3">
        <f>C12-D12</f>
        <v>-0.28712500000000002</v>
      </c>
      <c r="F12" s="3">
        <f t="shared" si="2"/>
        <v>0.28712500000000002</v>
      </c>
      <c r="G12" s="3">
        <f t="shared" si="3"/>
        <v>8.2440765625000009E-2</v>
      </c>
      <c r="K12" s="4"/>
      <c r="L12" s="4"/>
      <c r="M12" s="4"/>
      <c r="N12" s="4"/>
    </row>
    <row r="13" spans="1:15" x14ac:dyDescent="0.3">
      <c r="A13" s="22"/>
      <c r="B13" s="3">
        <v>9</v>
      </c>
      <c r="C13" s="2">
        <v>0.254</v>
      </c>
      <c r="D13" s="3">
        <f t="shared" ref="D13:D21" si="5">(SUM($C$12:$C$21)-C13)/(COUNT($C$12:$C$21)-1)</f>
        <v>0.25537500000000002</v>
      </c>
      <c r="E13" s="3">
        <f t="shared" ref="E13:E51" si="6">C13-D13</f>
        <v>-1.3750000000000151E-3</v>
      </c>
      <c r="F13" s="3">
        <f t="shared" si="2"/>
        <v>1.3750000000000151E-3</v>
      </c>
      <c r="G13" s="3">
        <f t="shared" si="3"/>
        <v>1.8906250000000415E-6</v>
      </c>
      <c r="K13" s="4"/>
      <c r="L13" s="4"/>
      <c r="M13" s="4"/>
      <c r="N13" s="4"/>
    </row>
    <row r="14" spans="1:15" x14ac:dyDescent="0.3">
      <c r="A14" s="22"/>
      <c r="B14" s="3">
        <v>10</v>
      </c>
      <c r="C14" s="2">
        <v>0.25600000000000001</v>
      </c>
      <c r="D14" s="3">
        <f t="shared" si="5"/>
        <v>0.25512500000000005</v>
      </c>
      <c r="E14" s="3">
        <f t="shared" si="6"/>
        <v>8.7499999999995914E-4</v>
      </c>
      <c r="F14" s="3">
        <f t="shared" si="2"/>
        <v>8.7499999999995914E-4</v>
      </c>
      <c r="G14" s="3">
        <f t="shared" si="3"/>
        <v>7.6562499999992851E-7</v>
      </c>
      <c r="K14" s="4"/>
      <c r="L14" s="4"/>
      <c r="M14" s="4"/>
      <c r="N14" s="4"/>
    </row>
    <row r="15" spans="1:15" x14ac:dyDescent="0.3">
      <c r="A15" s="22"/>
      <c r="B15" s="3">
        <v>11</v>
      </c>
      <c r="C15" s="2">
        <v>0.254</v>
      </c>
      <c r="D15" s="3">
        <f t="shared" si="5"/>
        <v>0.25537500000000002</v>
      </c>
      <c r="E15" s="3">
        <f t="shared" si="6"/>
        <v>-1.3750000000000151E-3</v>
      </c>
      <c r="F15" s="3">
        <f t="shared" si="2"/>
        <v>1.3750000000000151E-3</v>
      </c>
      <c r="G15" s="3">
        <f t="shared" si="3"/>
        <v>1.8906250000000415E-6</v>
      </c>
      <c r="K15" s="4"/>
      <c r="L15" s="4"/>
      <c r="M15" s="4"/>
      <c r="N15" s="4"/>
    </row>
    <row r="16" spans="1:15" x14ac:dyDescent="0.3">
      <c r="A16" s="22"/>
      <c r="B16" s="3">
        <v>12</v>
      </c>
      <c r="C16" s="2">
        <v>0.253</v>
      </c>
      <c r="D16" s="3">
        <f t="shared" si="5"/>
        <v>0.2555</v>
      </c>
      <c r="E16" s="3">
        <f t="shared" si="6"/>
        <v>-2.5000000000000022E-3</v>
      </c>
      <c r="F16" s="3">
        <f t="shared" si="2"/>
        <v>2.5000000000000022E-3</v>
      </c>
      <c r="G16" s="3">
        <f t="shared" si="3"/>
        <v>6.2500000000000113E-6</v>
      </c>
      <c r="K16" s="4"/>
      <c r="L16" s="4"/>
      <c r="M16" s="4"/>
      <c r="N16" s="4"/>
    </row>
    <row r="17" spans="1:7" x14ac:dyDescent="0.3">
      <c r="A17" s="22"/>
      <c r="B17" s="3">
        <v>16</v>
      </c>
      <c r="C17" s="2">
        <v>0.253</v>
      </c>
      <c r="D17" s="3">
        <f t="shared" si="5"/>
        <v>0.2555</v>
      </c>
      <c r="E17" s="3">
        <f t="shared" si="6"/>
        <v>-2.5000000000000022E-3</v>
      </c>
      <c r="F17" s="3">
        <f t="shared" si="2"/>
        <v>2.5000000000000022E-3</v>
      </c>
      <c r="G17" s="3">
        <f t="shared" si="3"/>
        <v>6.2500000000000113E-6</v>
      </c>
    </row>
    <row r="18" spans="1:7" x14ac:dyDescent="0.3">
      <c r="A18" s="22"/>
      <c r="B18" s="3">
        <v>20</v>
      </c>
      <c r="C18" s="2">
        <v>0.253</v>
      </c>
      <c r="D18" s="3">
        <f t="shared" si="5"/>
        <v>0.2555</v>
      </c>
      <c r="E18" s="3">
        <f t="shared" si="6"/>
        <v>-2.5000000000000022E-3</v>
      </c>
      <c r="F18" s="3">
        <f t="shared" si="2"/>
        <v>2.5000000000000022E-3</v>
      </c>
      <c r="G18" s="3">
        <f t="shared" si="3"/>
        <v>6.2500000000000113E-6</v>
      </c>
    </row>
    <row r="19" spans="1:7" x14ac:dyDescent="0.3">
      <c r="A19" s="22"/>
      <c r="B19" s="3">
        <v>0</v>
      </c>
      <c r="C19" s="2">
        <v>0.26100000000000001</v>
      </c>
      <c r="D19" s="3">
        <f t="shared" si="5"/>
        <v>0.2545</v>
      </c>
      <c r="E19" s="3">
        <f t="shared" si="6"/>
        <v>6.5000000000000058E-3</v>
      </c>
      <c r="F19" s="3">
        <f t="shared" si="2"/>
        <v>6.5000000000000058E-3</v>
      </c>
      <c r="G19" s="3">
        <f t="shared" si="3"/>
        <v>4.2250000000000078E-5</v>
      </c>
    </row>
    <row r="20" spans="1:7" x14ac:dyDescent="0.3">
      <c r="A20" s="22"/>
      <c r="B20" s="3" t="s">
        <v>312</v>
      </c>
      <c r="C20" s="7">
        <v>0.25600000000000001</v>
      </c>
      <c r="D20" s="3">
        <f t="shared" si="5"/>
        <v>0.25512500000000005</v>
      </c>
      <c r="E20" s="3">
        <f t="shared" si="6"/>
        <v>8.7499999999995914E-4</v>
      </c>
      <c r="F20" s="3">
        <f t="shared" si="2"/>
        <v>8.7499999999995914E-4</v>
      </c>
      <c r="G20" s="3">
        <f t="shared" si="3"/>
        <v>7.6562499999992851E-7</v>
      </c>
    </row>
    <row r="21" spans="1:7" x14ac:dyDescent="0.3">
      <c r="A21" s="23"/>
      <c r="B21" s="3" t="s">
        <v>313</v>
      </c>
      <c r="C21" s="7">
        <v>0.25700000000000001</v>
      </c>
      <c r="D21" s="3">
        <f t="shared" si="5"/>
        <v>0.255</v>
      </c>
      <c r="E21" s="3">
        <f t="shared" si="6"/>
        <v>2.0000000000000018E-3</v>
      </c>
      <c r="F21" s="3">
        <f t="shared" si="2"/>
        <v>2.0000000000000018E-3</v>
      </c>
      <c r="G21" s="3">
        <f t="shared" si="3"/>
        <v>4.0000000000000074E-6</v>
      </c>
    </row>
    <row r="22" spans="1:7" x14ac:dyDescent="0.3">
      <c r="A22" s="21">
        <v>46</v>
      </c>
      <c r="B22" s="9">
        <v>8</v>
      </c>
      <c r="C22" s="8"/>
      <c r="D22" s="3">
        <f>(SUM($C$22:$C$31)-C22)/(COUNT($C$22:$C$31)-1)</f>
        <v>0.28562499999999996</v>
      </c>
      <c r="E22" s="3">
        <f t="shared" si="6"/>
        <v>-0.28562499999999996</v>
      </c>
      <c r="F22" s="3">
        <f t="shared" si="2"/>
        <v>0.28562499999999996</v>
      </c>
      <c r="G22" s="3">
        <f t="shared" si="3"/>
        <v>8.1581640624999979E-2</v>
      </c>
    </row>
    <row r="23" spans="1:7" x14ac:dyDescent="0.3">
      <c r="A23" s="22"/>
      <c r="B23" s="3">
        <v>9</v>
      </c>
      <c r="C23" s="2">
        <v>0.253</v>
      </c>
      <c r="D23" s="3">
        <f t="shared" ref="D23:D31" si="7">(SUM($C$22:$C$31)-C23)/(COUNT($C$22:$C$31)-1)</f>
        <v>0.25399999999999995</v>
      </c>
      <c r="E23" s="3">
        <f t="shared" si="6"/>
        <v>-9.9999999999994538E-4</v>
      </c>
      <c r="F23" s="3">
        <f t="shared" si="2"/>
        <v>9.9999999999994538E-4</v>
      </c>
      <c r="G23" s="3">
        <f t="shared" si="3"/>
        <v>9.9999999999989069E-7</v>
      </c>
    </row>
    <row r="24" spans="1:7" x14ac:dyDescent="0.3">
      <c r="A24" s="22"/>
      <c r="B24" s="3">
        <v>10</v>
      </c>
      <c r="C24" s="2">
        <v>0.254</v>
      </c>
      <c r="D24" s="3">
        <f t="shared" si="7"/>
        <v>0.25387499999999996</v>
      </c>
      <c r="E24" s="3">
        <f t="shared" si="6"/>
        <v>1.2500000000004174E-4</v>
      </c>
      <c r="F24" s="3">
        <f t="shared" si="2"/>
        <v>1.2500000000004174E-4</v>
      </c>
      <c r="G24" s="3">
        <f t="shared" si="3"/>
        <v>1.5625000000010435E-8</v>
      </c>
    </row>
    <row r="25" spans="1:7" x14ac:dyDescent="0.3">
      <c r="A25" s="22"/>
      <c r="B25" s="3">
        <v>11</v>
      </c>
      <c r="C25" s="2">
        <v>0.254</v>
      </c>
      <c r="D25" s="3">
        <f t="shared" si="7"/>
        <v>0.25387499999999996</v>
      </c>
      <c r="E25" s="3">
        <f t="shared" si="6"/>
        <v>1.2500000000004174E-4</v>
      </c>
      <c r="F25" s="3">
        <f t="shared" si="2"/>
        <v>1.2500000000004174E-4</v>
      </c>
      <c r="G25" s="3">
        <f t="shared" si="3"/>
        <v>1.5625000000010435E-8</v>
      </c>
    </row>
    <row r="26" spans="1:7" x14ac:dyDescent="0.3">
      <c r="A26" s="22"/>
      <c r="B26" s="3">
        <v>12</v>
      </c>
      <c r="C26" s="2">
        <v>0.252</v>
      </c>
      <c r="D26" s="3">
        <f t="shared" si="7"/>
        <v>0.25412499999999993</v>
      </c>
      <c r="E26" s="3">
        <f t="shared" si="6"/>
        <v>-2.1249999999999325E-3</v>
      </c>
      <c r="F26" s="3">
        <f t="shared" si="2"/>
        <v>2.1249999999999325E-3</v>
      </c>
      <c r="G26" s="3">
        <f t="shared" si="3"/>
        <v>4.5156249999997133E-6</v>
      </c>
    </row>
    <row r="27" spans="1:7" x14ac:dyDescent="0.3">
      <c r="A27" s="22"/>
      <c r="B27" s="3">
        <v>16</v>
      </c>
      <c r="C27" s="2">
        <v>0.254</v>
      </c>
      <c r="D27" s="3">
        <f t="shared" si="7"/>
        <v>0.25387499999999996</v>
      </c>
      <c r="E27" s="3">
        <f t="shared" si="6"/>
        <v>1.2500000000004174E-4</v>
      </c>
      <c r="F27" s="3">
        <f t="shared" si="2"/>
        <v>1.2500000000004174E-4</v>
      </c>
      <c r="G27" s="3">
        <f t="shared" si="3"/>
        <v>1.5625000000010435E-8</v>
      </c>
    </row>
    <row r="28" spans="1:7" x14ac:dyDescent="0.3">
      <c r="A28" s="22"/>
      <c r="B28" s="3">
        <v>20</v>
      </c>
      <c r="C28" s="2">
        <v>0.252</v>
      </c>
      <c r="D28" s="3">
        <f t="shared" si="7"/>
        <v>0.25412499999999993</v>
      </c>
      <c r="E28" s="3">
        <f t="shared" si="6"/>
        <v>-2.1249999999999325E-3</v>
      </c>
      <c r="F28" s="3">
        <f t="shared" si="2"/>
        <v>2.1249999999999325E-3</v>
      </c>
      <c r="G28" s="3">
        <f t="shared" si="3"/>
        <v>4.5156249999997133E-6</v>
      </c>
    </row>
    <row r="29" spans="1:7" x14ac:dyDescent="0.3">
      <c r="A29" s="22"/>
      <c r="B29" s="3">
        <v>0</v>
      </c>
      <c r="C29" s="2">
        <v>0.252</v>
      </c>
      <c r="D29" s="3">
        <f t="shared" si="7"/>
        <v>0.25412499999999993</v>
      </c>
      <c r="E29" s="3">
        <f t="shared" si="6"/>
        <v>-2.1249999999999325E-3</v>
      </c>
      <c r="F29" s="3">
        <f t="shared" si="2"/>
        <v>2.1249999999999325E-3</v>
      </c>
      <c r="G29" s="3">
        <f t="shared" si="3"/>
        <v>4.5156249999997133E-6</v>
      </c>
    </row>
    <row r="30" spans="1:7" x14ac:dyDescent="0.3">
      <c r="A30" s="22"/>
      <c r="B30" s="3" t="s">
        <v>312</v>
      </c>
      <c r="C30" s="7">
        <v>0.255</v>
      </c>
      <c r="D30" s="3">
        <f t="shared" si="7"/>
        <v>0.25374999999999998</v>
      </c>
      <c r="E30" s="3">
        <f t="shared" si="6"/>
        <v>1.2500000000000289E-3</v>
      </c>
      <c r="F30" s="3">
        <f t="shared" si="2"/>
        <v>1.2500000000000289E-3</v>
      </c>
      <c r="G30" s="3">
        <f t="shared" si="3"/>
        <v>1.5625000000000721E-6</v>
      </c>
    </row>
    <row r="31" spans="1:7" x14ac:dyDescent="0.3">
      <c r="A31" s="23"/>
      <c r="B31" s="3" t="s">
        <v>313</v>
      </c>
      <c r="C31" s="7">
        <v>0.25900000000000001</v>
      </c>
      <c r="D31" s="3">
        <f t="shared" si="7"/>
        <v>0.25324999999999998</v>
      </c>
      <c r="E31" s="3">
        <f t="shared" si="6"/>
        <v>5.7500000000000329E-3</v>
      </c>
      <c r="F31" s="3">
        <f t="shared" si="2"/>
        <v>5.7500000000000329E-3</v>
      </c>
      <c r="G31" s="3">
        <f t="shared" si="3"/>
        <v>3.3062500000000377E-5</v>
      </c>
    </row>
    <row r="32" spans="1:7" x14ac:dyDescent="0.3">
      <c r="A32" s="21" t="s">
        <v>309</v>
      </c>
      <c r="B32" s="3">
        <v>8</v>
      </c>
      <c r="C32" s="2">
        <v>0.254</v>
      </c>
      <c r="D32" s="3">
        <f>(SUM($C$32:$C$41)-C32)/(COUNT($C$32:$C$41)-1)</f>
        <v>0.254</v>
      </c>
      <c r="E32" s="3">
        <f t="shared" si="6"/>
        <v>0</v>
      </c>
      <c r="F32" s="3">
        <f t="shared" si="2"/>
        <v>0</v>
      </c>
      <c r="G32" s="3">
        <f t="shared" si="3"/>
        <v>0</v>
      </c>
    </row>
    <row r="33" spans="1:7" x14ac:dyDescent="0.3">
      <c r="A33" s="22"/>
      <c r="B33" s="3">
        <v>9</v>
      </c>
      <c r="C33" s="2">
        <v>0.252</v>
      </c>
      <c r="D33" s="3">
        <f t="shared" ref="D33:D41" si="8">(SUM($C$32:$C$41)-C33)/(COUNT($C$32:$C$41)-1)</f>
        <v>0.25422222222222224</v>
      </c>
      <c r="E33" s="3">
        <f t="shared" si="6"/>
        <v>-2.2222222222222365E-3</v>
      </c>
      <c r="F33" s="3">
        <f t="shared" si="2"/>
        <v>2.2222222222222365E-3</v>
      </c>
      <c r="G33" s="3">
        <f t="shared" si="3"/>
        <v>4.9382716049383352E-6</v>
      </c>
    </row>
    <row r="34" spans="1:7" x14ac:dyDescent="0.3">
      <c r="A34" s="22"/>
      <c r="B34" s="3">
        <v>10</v>
      </c>
      <c r="C34" s="2">
        <v>0.25900000000000001</v>
      </c>
      <c r="D34" s="3">
        <f t="shared" si="8"/>
        <v>0.25344444444444447</v>
      </c>
      <c r="E34" s="3">
        <f t="shared" si="6"/>
        <v>5.5555555555555358E-3</v>
      </c>
      <c r="F34" s="3">
        <f t="shared" si="2"/>
        <v>5.5555555555555358E-3</v>
      </c>
      <c r="G34" s="3">
        <f t="shared" si="3"/>
        <v>3.0864197530863981E-5</v>
      </c>
    </row>
    <row r="35" spans="1:7" x14ac:dyDescent="0.3">
      <c r="A35" s="22"/>
      <c r="B35" s="3">
        <v>11</v>
      </c>
      <c r="C35" s="2">
        <v>0.253</v>
      </c>
      <c r="D35" s="3">
        <f t="shared" si="8"/>
        <v>0.25411111111111112</v>
      </c>
      <c r="E35" s="3">
        <f t="shared" si="6"/>
        <v>-1.1111111111111183E-3</v>
      </c>
      <c r="F35" s="3">
        <f t="shared" si="2"/>
        <v>1.1111111111111183E-3</v>
      </c>
      <c r="G35" s="3">
        <f t="shared" si="3"/>
        <v>1.2345679012345838E-6</v>
      </c>
    </row>
    <row r="36" spans="1:7" x14ac:dyDescent="0.3">
      <c r="A36" s="22"/>
      <c r="B36" s="3">
        <v>12</v>
      </c>
      <c r="C36" s="2">
        <v>0.251</v>
      </c>
      <c r="D36" s="3">
        <f t="shared" si="8"/>
        <v>0.25433333333333336</v>
      </c>
      <c r="E36" s="3">
        <f t="shared" si="6"/>
        <v>-3.3333333333333548E-3</v>
      </c>
      <c r="F36" s="3">
        <f t="shared" si="2"/>
        <v>3.3333333333333548E-3</v>
      </c>
      <c r="G36" s="3">
        <f t="shared" si="3"/>
        <v>1.1111111111111254E-5</v>
      </c>
    </row>
    <row r="37" spans="1:7" x14ac:dyDescent="0.3">
      <c r="A37" s="22"/>
      <c r="B37" s="3">
        <v>16</v>
      </c>
      <c r="C37" s="2">
        <v>0.254</v>
      </c>
      <c r="D37" s="3">
        <f t="shared" si="8"/>
        <v>0.254</v>
      </c>
      <c r="E37" s="3">
        <f t="shared" si="6"/>
        <v>0</v>
      </c>
      <c r="F37" s="3">
        <f t="shared" si="2"/>
        <v>0</v>
      </c>
      <c r="G37" s="3">
        <f t="shared" si="3"/>
        <v>0</v>
      </c>
    </row>
    <row r="38" spans="1:7" x14ac:dyDescent="0.3">
      <c r="A38" s="22"/>
      <c r="B38" s="3">
        <v>20</v>
      </c>
      <c r="C38" s="2">
        <v>0.252</v>
      </c>
      <c r="D38" s="3">
        <f t="shared" si="8"/>
        <v>0.25422222222222224</v>
      </c>
      <c r="E38" s="3">
        <f t="shared" si="6"/>
        <v>-2.2222222222222365E-3</v>
      </c>
      <c r="F38" s="3">
        <f t="shared" si="2"/>
        <v>2.2222222222222365E-3</v>
      </c>
      <c r="G38" s="3">
        <f t="shared" si="3"/>
        <v>4.9382716049383352E-6</v>
      </c>
    </row>
    <row r="39" spans="1:7" x14ac:dyDescent="0.3">
      <c r="A39" s="22"/>
      <c r="B39" s="3">
        <v>0</v>
      </c>
      <c r="C39" s="2">
        <v>0.253</v>
      </c>
      <c r="D39" s="3">
        <f t="shared" si="8"/>
        <v>0.25411111111111112</v>
      </c>
      <c r="E39" s="3">
        <f t="shared" si="6"/>
        <v>-1.1111111111111183E-3</v>
      </c>
      <c r="F39" s="3">
        <f t="shared" si="2"/>
        <v>1.1111111111111183E-3</v>
      </c>
      <c r="G39" s="3">
        <f t="shared" si="3"/>
        <v>1.2345679012345838E-6</v>
      </c>
    </row>
    <row r="40" spans="1:7" x14ac:dyDescent="0.3">
      <c r="A40" s="22"/>
      <c r="B40" s="3" t="s">
        <v>312</v>
      </c>
      <c r="C40" s="7">
        <v>0.255</v>
      </c>
      <c r="D40" s="3">
        <f t="shared" si="8"/>
        <v>0.25388888888888889</v>
      </c>
      <c r="E40" s="3">
        <f t="shared" si="6"/>
        <v>1.1111111111111183E-3</v>
      </c>
      <c r="F40" s="3">
        <f t="shared" si="2"/>
        <v>1.1111111111111183E-3</v>
      </c>
      <c r="G40" s="3">
        <f t="shared" si="3"/>
        <v>1.2345679012345838E-6</v>
      </c>
    </row>
    <row r="41" spans="1:7" x14ac:dyDescent="0.3">
      <c r="A41" s="23"/>
      <c r="B41" s="3" t="s">
        <v>313</v>
      </c>
      <c r="C41" s="7">
        <v>0.25700000000000001</v>
      </c>
      <c r="D41" s="3">
        <f t="shared" si="8"/>
        <v>0.25366666666666665</v>
      </c>
      <c r="E41" s="3">
        <f t="shared" si="6"/>
        <v>3.3333333333333548E-3</v>
      </c>
      <c r="F41" s="3">
        <f t="shared" si="2"/>
        <v>3.3333333333333548E-3</v>
      </c>
      <c r="G41" s="3">
        <f t="shared" si="3"/>
        <v>1.1111111111111254E-5</v>
      </c>
    </row>
    <row r="42" spans="1:7" x14ac:dyDescent="0.3">
      <c r="A42" s="21" t="s">
        <v>310</v>
      </c>
      <c r="B42" s="3">
        <v>8</v>
      </c>
      <c r="C42" s="2">
        <v>0.25700000000000001</v>
      </c>
      <c r="D42" s="3">
        <f>(SUM($C$42:$C$51)-C42)/(COUNT($C$42:$C$51)-1)</f>
        <v>0.25766666666666665</v>
      </c>
      <c r="E42" s="3">
        <f t="shared" si="6"/>
        <v>-6.6666666666664876E-4</v>
      </c>
      <c r="F42" s="3">
        <f t="shared" si="2"/>
        <v>6.6666666666664876E-4</v>
      </c>
      <c r="G42" s="3">
        <f t="shared" si="3"/>
        <v>4.4444444444442056E-7</v>
      </c>
    </row>
    <row r="43" spans="1:7" x14ac:dyDescent="0.3">
      <c r="A43" s="22"/>
      <c r="B43" s="3">
        <v>9</v>
      </c>
      <c r="C43" s="2">
        <v>0.25700000000000001</v>
      </c>
      <c r="D43" s="3">
        <f t="shared" ref="D43:D51" si="9">(SUM($C$42:$C$51)-C43)/(COUNT($C$42:$C$51)-1)</f>
        <v>0.25766666666666665</v>
      </c>
      <c r="E43" s="3">
        <f t="shared" si="6"/>
        <v>-6.6666666666664876E-4</v>
      </c>
      <c r="F43" s="3">
        <f t="shared" si="2"/>
        <v>6.6666666666664876E-4</v>
      </c>
      <c r="G43" s="3">
        <f t="shared" si="3"/>
        <v>4.4444444444442056E-7</v>
      </c>
    </row>
    <row r="44" spans="1:7" x14ac:dyDescent="0.3">
      <c r="A44" s="22"/>
      <c r="B44" s="3">
        <v>10</v>
      </c>
      <c r="C44" s="2">
        <v>0.25700000000000001</v>
      </c>
      <c r="D44" s="3">
        <f t="shared" si="9"/>
        <v>0.25766666666666665</v>
      </c>
      <c r="E44" s="3">
        <f t="shared" si="6"/>
        <v>-6.6666666666664876E-4</v>
      </c>
      <c r="F44" s="3">
        <f t="shared" si="2"/>
        <v>6.6666666666664876E-4</v>
      </c>
      <c r="G44" s="3">
        <f t="shared" si="3"/>
        <v>4.4444444444442056E-7</v>
      </c>
    </row>
    <row r="45" spans="1:7" x14ac:dyDescent="0.3">
      <c r="A45" s="22"/>
      <c r="B45" s="3">
        <v>11</v>
      </c>
      <c r="C45" s="2">
        <v>0.25700000000000001</v>
      </c>
      <c r="D45" s="3">
        <f t="shared" si="9"/>
        <v>0.25766666666666665</v>
      </c>
      <c r="E45" s="3">
        <f t="shared" si="6"/>
        <v>-6.6666666666664876E-4</v>
      </c>
      <c r="F45" s="3">
        <f t="shared" si="2"/>
        <v>6.6666666666664876E-4</v>
      </c>
      <c r="G45" s="3">
        <f t="shared" si="3"/>
        <v>4.4444444444442056E-7</v>
      </c>
    </row>
    <row r="46" spans="1:7" x14ac:dyDescent="0.3">
      <c r="A46" s="22"/>
      <c r="B46" s="3">
        <v>12</v>
      </c>
      <c r="C46" s="2">
        <v>0.25800000000000001</v>
      </c>
      <c r="D46" s="3">
        <f t="shared" si="9"/>
        <v>0.25755555555555554</v>
      </c>
      <c r="E46" s="3">
        <f t="shared" si="6"/>
        <v>4.4444444444446951E-4</v>
      </c>
      <c r="F46" s="3">
        <f t="shared" si="2"/>
        <v>4.4444444444446951E-4</v>
      </c>
      <c r="G46" s="3">
        <f t="shared" si="3"/>
        <v>1.9753086419755316E-7</v>
      </c>
    </row>
    <row r="47" spans="1:7" x14ac:dyDescent="0.3">
      <c r="A47" s="22"/>
      <c r="B47" s="3">
        <v>16</v>
      </c>
      <c r="C47" s="2">
        <v>0.25800000000000001</v>
      </c>
      <c r="D47" s="3">
        <f t="shared" si="9"/>
        <v>0.25755555555555554</v>
      </c>
      <c r="E47" s="3">
        <f t="shared" si="6"/>
        <v>4.4444444444446951E-4</v>
      </c>
      <c r="F47" s="3">
        <f t="shared" si="2"/>
        <v>4.4444444444446951E-4</v>
      </c>
      <c r="G47" s="3">
        <f t="shared" si="3"/>
        <v>1.9753086419755316E-7</v>
      </c>
    </row>
    <row r="48" spans="1:7" x14ac:dyDescent="0.3">
      <c r="A48" s="22"/>
      <c r="B48" s="3">
        <v>20</v>
      </c>
      <c r="C48" s="2">
        <v>0.25700000000000001</v>
      </c>
      <c r="D48" s="3">
        <f t="shared" si="9"/>
        <v>0.25766666666666665</v>
      </c>
      <c r="E48" s="3">
        <f t="shared" si="6"/>
        <v>-6.6666666666664876E-4</v>
      </c>
      <c r="F48" s="3">
        <f t="shared" si="2"/>
        <v>6.6666666666664876E-4</v>
      </c>
      <c r="G48" s="3">
        <f t="shared" si="3"/>
        <v>4.4444444444442056E-7</v>
      </c>
    </row>
    <row r="49" spans="1:7" x14ac:dyDescent="0.3">
      <c r="A49" s="22"/>
      <c r="B49" s="3">
        <v>0</v>
      </c>
      <c r="C49" s="2">
        <v>0.25800000000000001</v>
      </c>
      <c r="D49" s="3">
        <f t="shared" si="9"/>
        <v>0.25755555555555554</v>
      </c>
      <c r="E49" s="3">
        <f t="shared" si="6"/>
        <v>4.4444444444446951E-4</v>
      </c>
      <c r="F49" s="3">
        <f t="shared" si="2"/>
        <v>4.4444444444446951E-4</v>
      </c>
      <c r="G49" s="3">
        <f t="shared" si="3"/>
        <v>1.9753086419755316E-7</v>
      </c>
    </row>
    <row r="50" spans="1:7" x14ac:dyDescent="0.3">
      <c r="A50" s="22"/>
      <c r="B50" s="3" t="s">
        <v>312</v>
      </c>
      <c r="C50" s="7">
        <v>0.26</v>
      </c>
      <c r="D50" s="3">
        <f t="shared" si="9"/>
        <v>0.2573333333333333</v>
      </c>
      <c r="E50" s="3">
        <f t="shared" si="6"/>
        <v>2.666666666666706E-3</v>
      </c>
      <c r="F50" s="3">
        <f t="shared" si="2"/>
        <v>2.666666666666706E-3</v>
      </c>
      <c r="G50" s="3">
        <f t="shared" si="3"/>
        <v>7.111111111111321E-6</v>
      </c>
    </row>
    <row r="51" spans="1:7" x14ac:dyDescent="0.3">
      <c r="A51" s="23"/>
      <c r="B51" s="3" t="s">
        <v>313</v>
      </c>
      <c r="C51" s="7">
        <v>0.25700000000000001</v>
      </c>
      <c r="D51" s="3">
        <f t="shared" si="9"/>
        <v>0.25766666666666665</v>
      </c>
      <c r="E51" s="3">
        <f t="shared" si="6"/>
        <v>-6.6666666666664876E-4</v>
      </c>
      <c r="F51" s="3">
        <f t="shared" si="2"/>
        <v>6.6666666666664876E-4</v>
      </c>
      <c r="G51" s="3">
        <f t="shared" si="3"/>
        <v>4.4444444444442056E-7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50C7-8830-48F0-B377-51E8DD39821B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307</v>
      </c>
      <c r="D1" s="10" t="s">
        <v>327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6">
        <v>317</v>
      </c>
      <c r="D2" s="3">
        <f>(SUM($C$2:$C$11)-C2)/(COUNT($C$2:$C$11)-1)</f>
        <v>323.43333333333334</v>
      </c>
      <c r="E2" s="3">
        <f>C2-D2</f>
        <v>-6.4333333333333371</v>
      </c>
      <c r="F2" s="3">
        <f>ABS(E2)</f>
        <v>6.4333333333333371</v>
      </c>
      <c r="G2" s="3">
        <f>E2^2</f>
        <v>41.387777777777828</v>
      </c>
    </row>
    <row r="3" spans="1:15" x14ac:dyDescent="0.3">
      <c r="A3" s="22"/>
      <c r="B3" s="3">
        <v>9</v>
      </c>
      <c r="C3" s="2">
        <v>323.39999999999998</v>
      </c>
      <c r="D3" s="3">
        <f t="shared" ref="D3:D11" si="0">(SUM($C$2:$C$11)-C3)/(COUNT($C$2:$C$11)-1)</f>
        <v>322.72222222222223</v>
      </c>
      <c r="E3" s="3">
        <f t="shared" ref="E3:E11" si="1">C3-D3</f>
        <v>0.67777777777774872</v>
      </c>
      <c r="F3" s="3">
        <f t="shared" ref="F3:F51" si="2">ABS(E3)</f>
        <v>0.67777777777774872</v>
      </c>
      <c r="G3" s="3">
        <f t="shared" ref="G3:G51" si="3">E3^2</f>
        <v>0.45938271604934333</v>
      </c>
    </row>
    <row r="4" spans="1:15" x14ac:dyDescent="0.3">
      <c r="A4" s="22"/>
      <c r="B4" s="3">
        <v>10</v>
      </c>
      <c r="C4" s="2">
        <v>323.5</v>
      </c>
      <c r="D4" s="3">
        <f t="shared" si="0"/>
        <v>322.71111111111111</v>
      </c>
      <c r="E4" s="3">
        <f t="shared" si="1"/>
        <v>0.78888888888889142</v>
      </c>
      <c r="F4" s="3">
        <f t="shared" si="2"/>
        <v>0.78888888888889142</v>
      </c>
      <c r="G4" s="3">
        <f t="shared" si="3"/>
        <v>0.62234567901234972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323.2</v>
      </c>
      <c r="D5" s="3">
        <f t="shared" si="0"/>
        <v>322.74444444444447</v>
      </c>
      <c r="E5" s="3">
        <f t="shared" si="1"/>
        <v>0.45555555555552019</v>
      </c>
      <c r="F5" s="3">
        <f t="shared" si="2"/>
        <v>0.45555555555552019</v>
      </c>
      <c r="G5" s="3">
        <f t="shared" si="3"/>
        <v>0.20753086419749864</v>
      </c>
      <c r="J5" s="2" t="s">
        <v>297</v>
      </c>
      <c r="K5" s="3">
        <f>AVERAGE(E6:E11)</f>
        <v>0.75185185185185333</v>
      </c>
      <c r="L5" s="3">
        <f>AVERAGE(F6:F11)</f>
        <v>0.75185185185185333</v>
      </c>
      <c r="M5" s="3">
        <f>AVERAGE(G6:G11)</f>
        <v>0.76144032921812033</v>
      </c>
      <c r="N5" s="3">
        <f>SQRT(M5)</f>
        <v>0.87260548314694897</v>
      </c>
      <c r="O5" s="3">
        <f>N5/AVERAGE(C6:C11)*100</f>
        <v>0.26976674046175253</v>
      </c>
    </row>
    <row r="6" spans="1:15" x14ac:dyDescent="0.3">
      <c r="A6" s="22"/>
      <c r="B6" s="3">
        <v>12</v>
      </c>
      <c r="C6" s="2">
        <v>324.10000000000002</v>
      </c>
      <c r="D6" s="3">
        <f t="shared" si="0"/>
        <v>322.64444444444445</v>
      </c>
      <c r="E6" s="3">
        <f t="shared" si="1"/>
        <v>1.455555555555577</v>
      </c>
      <c r="F6" s="3">
        <f t="shared" si="2"/>
        <v>1.455555555555577</v>
      </c>
      <c r="G6" s="3">
        <f t="shared" si="3"/>
        <v>2.1186419753087047</v>
      </c>
      <c r="J6" s="2">
        <v>33</v>
      </c>
      <c r="K6" s="3">
        <f>AVERAGE(E16:E21)</f>
        <v>0.25000000000000472</v>
      </c>
      <c r="L6" s="3">
        <f>AVERAGE(F16:F21)</f>
        <v>2.4374999999999951</v>
      </c>
      <c r="M6" s="3">
        <f>AVERAGE(G16:G21)</f>
        <v>7.8404687499999701</v>
      </c>
      <c r="N6" s="3">
        <f t="shared" ref="N6:N9" si="4">SQRT(M6)</f>
        <v>2.8000837041059987</v>
      </c>
      <c r="O6" s="3">
        <f>N6/AVERAGE(C16:C21)*100</f>
        <v>1.1634696831465368</v>
      </c>
    </row>
    <row r="7" spans="1:15" x14ac:dyDescent="0.3">
      <c r="A7" s="22"/>
      <c r="B7" s="3">
        <v>16</v>
      </c>
      <c r="C7" s="2">
        <v>323.2</v>
      </c>
      <c r="D7" s="3">
        <f t="shared" si="0"/>
        <v>322.74444444444447</v>
      </c>
      <c r="E7" s="3">
        <f t="shared" si="1"/>
        <v>0.45555555555552019</v>
      </c>
      <c r="F7" s="3">
        <f t="shared" si="2"/>
        <v>0.45555555555552019</v>
      </c>
      <c r="G7" s="3">
        <f t="shared" si="3"/>
        <v>0.20753086419749864</v>
      </c>
      <c r="J7" s="2">
        <v>46</v>
      </c>
      <c r="K7" s="3">
        <f>AVERAGE(E26:E31)</f>
        <v>7.5000000000021785E-2</v>
      </c>
      <c r="L7" s="3">
        <f>AVERAGE(F26:F31)</f>
        <v>1.9500000000000028</v>
      </c>
      <c r="M7" s="3">
        <f>AVERAGE(G26:G31)</f>
        <v>6.4982812500000193</v>
      </c>
      <c r="N7" s="3">
        <f t="shared" si="4"/>
        <v>2.5491726599036046</v>
      </c>
      <c r="O7" s="3">
        <f>N7/AVERAGE(C26:C31)*100</f>
        <v>1.065707633738965</v>
      </c>
    </row>
    <row r="8" spans="1:15" x14ac:dyDescent="0.3">
      <c r="A8" s="22"/>
      <c r="B8" s="3">
        <v>20</v>
      </c>
      <c r="C8" s="2">
        <v>323.60000000000002</v>
      </c>
      <c r="D8" s="3">
        <f t="shared" si="0"/>
        <v>322.70000000000005</v>
      </c>
      <c r="E8" s="3">
        <f t="shared" si="1"/>
        <v>0.89999999999997726</v>
      </c>
      <c r="F8" s="3">
        <f t="shared" si="2"/>
        <v>0.89999999999997726</v>
      </c>
      <c r="G8" s="3">
        <f t="shared" si="3"/>
        <v>0.80999999999995909</v>
      </c>
      <c r="J8" s="2" t="s">
        <v>309</v>
      </c>
      <c r="K8" s="3">
        <f>AVERAGE(E36:E41)</f>
        <v>-0.34444444444443434</v>
      </c>
      <c r="L8" s="3">
        <f>AVERAGE(F36:F41)</f>
        <v>1.6481481481481428</v>
      </c>
      <c r="M8" s="3">
        <f>AVERAGE(G36:G41)</f>
        <v>4.4838683127571812</v>
      </c>
      <c r="N8" s="3">
        <f t="shared" si="4"/>
        <v>2.1175146546735353</v>
      </c>
      <c r="O8" s="3">
        <f>N8/AVERAGE(C36:C41)*100</f>
        <v>0.88691713284755402</v>
      </c>
    </row>
    <row r="9" spans="1:15" x14ac:dyDescent="0.3">
      <c r="A9" s="22"/>
      <c r="B9" s="3">
        <v>0</v>
      </c>
      <c r="C9" s="2">
        <v>323.8</v>
      </c>
      <c r="D9" s="3">
        <f t="shared" si="0"/>
        <v>322.67777777777775</v>
      </c>
      <c r="E9" s="3">
        <f t="shared" si="1"/>
        <v>1.1222222222222626</v>
      </c>
      <c r="F9" s="3">
        <f t="shared" si="2"/>
        <v>1.1222222222222626</v>
      </c>
      <c r="G9" s="3">
        <f t="shared" si="3"/>
        <v>1.2593827160494735</v>
      </c>
      <c r="J9" s="2" t="s">
        <v>310</v>
      </c>
      <c r="K9" s="3">
        <f>AVERAGE(E46:E51)</f>
        <v>0.87777777777777999</v>
      </c>
      <c r="L9" s="3">
        <f>AVERAGE(F46:F51)</f>
        <v>2.5444444444444465</v>
      </c>
      <c r="M9" s="3">
        <f>AVERAGE(G46:G51)</f>
        <v>18.608971193415695</v>
      </c>
      <c r="N9" s="3">
        <f t="shared" si="4"/>
        <v>4.3138116780193005</v>
      </c>
      <c r="O9" s="3">
        <f>N9/AVERAGE(C46:C51)*100</f>
        <v>1.7675933939845525</v>
      </c>
    </row>
    <row r="10" spans="1:15" x14ac:dyDescent="0.3">
      <c r="A10" s="22"/>
      <c r="B10" s="3" t="s">
        <v>312</v>
      </c>
      <c r="C10" s="6">
        <v>323</v>
      </c>
      <c r="D10" s="3">
        <f t="shared" si="0"/>
        <v>322.76666666666665</v>
      </c>
      <c r="E10" s="3">
        <f t="shared" si="1"/>
        <v>0.23333333333334849</v>
      </c>
      <c r="F10" s="3">
        <f t="shared" si="2"/>
        <v>0.23333333333334849</v>
      </c>
      <c r="G10" s="3">
        <f t="shared" si="3"/>
        <v>5.4444444444451519E-2</v>
      </c>
    </row>
    <row r="11" spans="1:15" x14ac:dyDescent="0.3">
      <c r="A11" s="23"/>
      <c r="B11" s="3" t="s">
        <v>313</v>
      </c>
      <c r="C11" s="6">
        <v>323.10000000000002</v>
      </c>
      <c r="D11" s="3">
        <f t="shared" si="0"/>
        <v>322.75555555555559</v>
      </c>
      <c r="E11" s="3">
        <f t="shared" si="1"/>
        <v>0.34444444444443434</v>
      </c>
      <c r="F11" s="3">
        <f t="shared" si="2"/>
        <v>0.34444444444443434</v>
      </c>
      <c r="G11" s="3">
        <f t="shared" si="3"/>
        <v>0.11864197530863502</v>
      </c>
    </row>
    <row r="12" spans="1:15" x14ac:dyDescent="0.3">
      <c r="A12" s="21">
        <v>33</v>
      </c>
      <c r="B12" s="9">
        <v>8</v>
      </c>
      <c r="C12" s="8"/>
      <c r="D12" s="3">
        <f>(SUM($C$12:$C$21)-C12)/(COUNT($C$12:$C$21)-1)</f>
        <v>270.5</v>
      </c>
      <c r="E12" s="3">
        <f>C12-D12</f>
        <v>-270.5</v>
      </c>
      <c r="F12" s="3">
        <f t="shared" si="2"/>
        <v>270.5</v>
      </c>
      <c r="G12" s="3">
        <f t="shared" si="3"/>
        <v>73170.25</v>
      </c>
    </row>
    <row r="13" spans="1:15" x14ac:dyDescent="0.3">
      <c r="A13" s="22"/>
      <c r="B13" s="3">
        <v>9</v>
      </c>
      <c r="C13" s="2">
        <v>239.5</v>
      </c>
      <c r="D13" s="3">
        <f t="shared" ref="D13:D21" si="5">(SUM($C$12:$C$21)-C13)/(COUNT($C$12:$C$21)-1)</f>
        <v>240.5625</v>
      </c>
      <c r="E13" s="3">
        <f t="shared" ref="E13:E51" si="6">C13-D13</f>
        <v>-1.0625</v>
      </c>
      <c r="F13" s="3">
        <f t="shared" si="2"/>
        <v>1.0625</v>
      </c>
      <c r="G13" s="3">
        <f t="shared" si="3"/>
        <v>1.12890625</v>
      </c>
      <c r="K13" s="4"/>
      <c r="L13" s="4"/>
      <c r="M13" s="4"/>
      <c r="N13" s="4"/>
    </row>
    <row r="14" spans="1:15" x14ac:dyDescent="0.3">
      <c r="A14" s="22"/>
      <c r="B14" s="3">
        <v>10</v>
      </c>
      <c r="C14" s="2">
        <v>241.6</v>
      </c>
      <c r="D14" s="3">
        <f t="shared" si="5"/>
        <v>240.3</v>
      </c>
      <c r="E14" s="3">
        <f t="shared" si="6"/>
        <v>1.2999999999999829</v>
      </c>
      <c r="F14" s="3">
        <f t="shared" si="2"/>
        <v>1.2999999999999829</v>
      </c>
      <c r="G14" s="3">
        <f t="shared" si="3"/>
        <v>1.6899999999999558</v>
      </c>
      <c r="K14" s="4"/>
      <c r="L14" s="4"/>
      <c r="M14" s="4"/>
      <c r="N14" s="4"/>
    </row>
    <row r="15" spans="1:15" x14ac:dyDescent="0.3">
      <c r="A15" s="22"/>
      <c r="B15" s="3">
        <v>11</v>
      </c>
      <c r="C15" s="2">
        <v>238.9</v>
      </c>
      <c r="D15" s="3">
        <f t="shared" si="5"/>
        <v>240.63749999999999</v>
      </c>
      <c r="E15" s="3">
        <f t="shared" si="6"/>
        <v>-1.7374999999999829</v>
      </c>
      <c r="F15" s="3">
        <f t="shared" si="2"/>
        <v>1.7374999999999829</v>
      </c>
      <c r="G15" s="3">
        <f t="shared" si="3"/>
        <v>3.0189062499999406</v>
      </c>
      <c r="K15" s="4"/>
      <c r="L15" s="4"/>
      <c r="M15" s="4"/>
      <c r="N15" s="4"/>
    </row>
    <row r="16" spans="1:15" x14ac:dyDescent="0.3">
      <c r="A16" s="22"/>
      <c r="B16" s="3">
        <v>12</v>
      </c>
      <c r="C16" s="2">
        <v>238.4</v>
      </c>
      <c r="D16" s="3">
        <f t="shared" si="5"/>
        <v>240.7</v>
      </c>
      <c r="E16" s="3">
        <f t="shared" si="6"/>
        <v>-2.2999999999999829</v>
      </c>
      <c r="F16" s="3">
        <f t="shared" si="2"/>
        <v>2.2999999999999829</v>
      </c>
      <c r="G16" s="3">
        <f t="shared" si="3"/>
        <v>5.2899999999999219</v>
      </c>
      <c r="K16" s="4"/>
      <c r="L16" s="4"/>
      <c r="M16" s="4"/>
      <c r="N16" s="4"/>
    </row>
    <row r="17" spans="1:14" x14ac:dyDescent="0.3">
      <c r="A17" s="22"/>
      <c r="B17" s="3">
        <v>16</v>
      </c>
      <c r="C17" s="2">
        <v>238.7</v>
      </c>
      <c r="D17" s="3">
        <f t="shared" si="5"/>
        <v>240.66249999999999</v>
      </c>
      <c r="E17" s="3">
        <f t="shared" si="6"/>
        <v>-1.9625000000000057</v>
      </c>
      <c r="F17" s="3">
        <f t="shared" si="2"/>
        <v>1.9625000000000057</v>
      </c>
      <c r="G17" s="3">
        <f t="shared" si="3"/>
        <v>3.8514062500000223</v>
      </c>
      <c r="K17" s="4"/>
      <c r="L17" s="4"/>
      <c r="M17" s="4"/>
      <c r="N17" s="4"/>
    </row>
    <row r="18" spans="1:14" x14ac:dyDescent="0.3">
      <c r="A18" s="22"/>
      <c r="B18" s="3">
        <v>20</v>
      </c>
      <c r="C18" s="2">
        <v>238.4</v>
      </c>
      <c r="D18" s="3">
        <f t="shared" si="5"/>
        <v>240.7</v>
      </c>
      <c r="E18" s="3">
        <f t="shared" si="6"/>
        <v>-2.2999999999999829</v>
      </c>
      <c r="F18" s="3">
        <f t="shared" si="2"/>
        <v>2.2999999999999829</v>
      </c>
      <c r="G18" s="3">
        <f t="shared" si="3"/>
        <v>5.2899999999999219</v>
      </c>
    </row>
    <row r="19" spans="1:14" x14ac:dyDescent="0.3">
      <c r="A19" s="22"/>
      <c r="B19" s="3">
        <v>0</v>
      </c>
      <c r="C19" s="2">
        <v>245.2</v>
      </c>
      <c r="D19" s="3">
        <f t="shared" si="5"/>
        <v>239.85</v>
      </c>
      <c r="E19" s="3">
        <f t="shared" si="6"/>
        <v>5.3499999999999943</v>
      </c>
      <c r="F19" s="3">
        <f t="shared" si="2"/>
        <v>5.3499999999999943</v>
      </c>
      <c r="G19" s="3">
        <f t="shared" si="3"/>
        <v>28.622499999999938</v>
      </c>
    </row>
    <row r="20" spans="1:14" x14ac:dyDescent="0.3">
      <c r="A20" s="22"/>
      <c r="B20" s="3" t="s">
        <v>312</v>
      </c>
      <c r="C20" s="6">
        <v>241.3</v>
      </c>
      <c r="D20" s="3">
        <f t="shared" si="5"/>
        <v>240.33750000000001</v>
      </c>
      <c r="E20" s="3">
        <f t="shared" si="6"/>
        <v>0.96250000000000568</v>
      </c>
      <c r="F20" s="3">
        <f t="shared" si="2"/>
        <v>0.96250000000000568</v>
      </c>
      <c r="G20" s="3">
        <f t="shared" si="3"/>
        <v>0.92640625000001098</v>
      </c>
    </row>
    <row r="21" spans="1:14" x14ac:dyDescent="0.3">
      <c r="A21" s="23"/>
      <c r="B21" s="3" t="s">
        <v>313</v>
      </c>
      <c r="C21" s="6">
        <v>242</v>
      </c>
      <c r="D21" s="3">
        <f t="shared" si="5"/>
        <v>240.25</v>
      </c>
      <c r="E21" s="3">
        <f t="shared" si="6"/>
        <v>1.75</v>
      </c>
      <c r="F21" s="3">
        <f t="shared" si="2"/>
        <v>1.75</v>
      </c>
      <c r="G21" s="3">
        <f t="shared" si="3"/>
        <v>3.0625</v>
      </c>
    </row>
    <row r="22" spans="1:14" x14ac:dyDescent="0.3">
      <c r="A22" s="21">
        <v>46</v>
      </c>
      <c r="B22" s="9">
        <v>8</v>
      </c>
      <c r="C22" s="8"/>
      <c r="D22" s="3">
        <f>(SUM($C$22:$C$31)-C22)/(COUNT($C$22:$C$31)-1)</f>
        <v>269.02499999999998</v>
      </c>
      <c r="E22" s="3">
        <f t="shared" si="6"/>
        <v>-269.02499999999998</v>
      </c>
      <c r="F22" s="3">
        <f t="shared" si="2"/>
        <v>269.02499999999998</v>
      </c>
      <c r="G22" s="3">
        <f t="shared" si="3"/>
        <v>72374.450624999983</v>
      </c>
    </row>
    <row r="23" spans="1:14" x14ac:dyDescent="0.3">
      <c r="A23" s="22"/>
      <c r="B23" s="3">
        <v>9</v>
      </c>
      <c r="C23" s="2">
        <v>238.7</v>
      </c>
      <c r="D23" s="3">
        <f t="shared" ref="D23:D31" si="7">(SUM($C$22:$C$31)-C23)/(COUNT($C$22:$C$31)-1)</f>
        <v>239.18749999999997</v>
      </c>
      <c r="E23" s="3">
        <f t="shared" si="6"/>
        <v>-0.48749999999998295</v>
      </c>
      <c r="F23" s="3">
        <f t="shared" si="2"/>
        <v>0.48749999999998295</v>
      </c>
      <c r="G23" s="3">
        <f t="shared" si="3"/>
        <v>0.23765624999998336</v>
      </c>
    </row>
    <row r="24" spans="1:14" x14ac:dyDescent="0.3">
      <c r="A24" s="22"/>
      <c r="B24" s="3">
        <v>10</v>
      </c>
      <c r="C24" s="2">
        <v>239.3</v>
      </c>
      <c r="D24" s="3">
        <f t="shared" si="7"/>
        <v>239.11249999999998</v>
      </c>
      <c r="E24" s="3">
        <f t="shared" si="6"/>
        <v>0.18750000000002842</v>
      </c>
      <c r="F24" s="3">
        <f t="shared" si="2"/>
        <v>0.18750000000002842</v>
      </c>
      <c r="G24" s="3">
        <f t="shared" si="3"/>
        <v>3.5156250000010658E-2</v>
      </c>
    </row>
    <row r="25" spans="1:14" x14ac:dyDescent="0.3">
      <c r="A25" s="22"/>
      <c r="B25" s="3">
        <v>11</v>
      </c>
      <c r="C25" s="2">
        <v>239</v>
      </c>
      <c r="D25" s="3">
        <f t="shared" si="7"/>
        <v>239.14999999999998</v>
      </c>
      <c r="E25" s="3">
        <f t="shared" si="6"/>
        <v>-0.14999999999997726</v>
      </c>
      <c r="F25" s="3">
        <f t="shared" si="2"/>
        <v>0.14999999999997726</v>
      </c>
      <c r="G25" s="3">
        <f t="shared" si="3"/>
        <v>2.2499999999993178E-2</v>
      </c>
    </row>
    <row r="26" spans="1:14" x14ac:dyDescent="0.3">
      <c r="A26" s="22"/>
      <c r="B26" s="3">
        <v>12</v>
      </c>
      <c r="C26" s="2">
        <v>237</v>
      </c>
      <c r="D26" s="3">
        <f t="shared" si="7"/>
        <v>239.39999999999998</v>
      </c>
      <c r="E26" s="3">
        <f t="shared" si="6"/>
        <v>-2.3999999999999773</v>
      </c>
      <c r="F26" s="3">
        <f t="shared" si="2"/>
        <v>2.3999999999999773</v>
      </c>
      <c r="G26" s="3">
        <f t="shared" si="3"/>
        <v>5.7599999999998905</v>
      </c>
    </row>
    <row r="27" spans="1:14" x14ac:dyDescent="0.3">
      <c r="A27" s="22"/>
      <c r="B27" s="3">
        <v>16</v>
      </c>
      <c r="C27" s="2">
        <v>239.3</v>
      </c>
      <c r="D27" s="3">
        <f t="shared" si="7"/>
        <v>239.11249999999998</v>
      </c>
      <c r="E27" s="3">
        <f t="shared" si="6"/>
        <v>0.18750000000002842</v>
      </c>
      <c r="F27" s="3">
        <f t="shared" si="2"/>
        <v>0.18750000000002842</v>
      </c>
      <c r="G27" s="3">
        <f t="shared" si="3"/>
        <v>3.5156250000010658E-2</v>
      </c>
    </row>
    <row r="28" spans="1:14" x14ac:dyDescent="0.3">
      <c r="A28" s="22"/>
      <c r="B28" s="3">
        <v>20</v>
      </c>
      <c r="C28" s="2">
        <v>237.6</v>
      </c>
      <c r="D28" s="3">
        <f t="shared" si="7"/>
        <v>239.32499999999999</v>
      </c>
      <c r="E28" s="3">
        <f t="shared" si="6"/>
        <v>-1.7249999999999943</v>
      </c>
      <c r="F28" s="3">
        <f t="shared" si="2"/>
        <v>1.7249999999999943</v>
      </c>
      <c r="G28" s="3">
        <f t="shared" si="3"/>
        <v>2.9756249999999804</v>
      </c>
    </row>
    <row r="29" spans="1:14" x14ac:dyDescent="0.3">
      <c r="A29" s="22"/>
      <c r="B29" s="3">
        <v>0</v>
      </c>
      <c r="C29" s="2">
        <v>237.8</v>
      </c>
      <c r="D29" s="3">
        <f t="shared" si="7"/>
        <v>239.29999999999998</v>
      </c>
      <c r="E29" s="3">
        <f t="shared" si="6"/>
        <v>-1.4999999999999716</v>
      </c>
      <c r="F29" s="3">
        <f t="shared" si="2"/>
        <v>1.4999999999999716</v>
      </c>
      <c r="G29" s="3">
        <f t="shared" si="3"/>
        <v>2.2499999999999147</v>
      </c>
    </row>
    <row r="30" spans="1:14" x14ac:dyDescent="0.3">
      <c r="A30" s="22"/>
      <c r="B30" s="3" t="s">
        <v>312</v>
      </c>
      <c r="C30" s="6">
        <v>239.7</v>
      </c>
      <c r="D30" s="3">
        <f t="shared" si="7"/>
        <v>239.06249999999997</v>
      </c>
      <c r="E30" s="3">
        <f t="shared" si="6"/>
        <v>0.63750000000001705</v>
      </c>
      <c r="F30" s="3">
        <f t="shared" si="2"/>
        <v>0.63750000000001705</v>
      </c>
      <c r="G30" s="3">
        <f t="shared" si="3"/>
        <v>0.40640625000002173</v>
      </c>
    </row>
    <row r="31" spans="1:14" x14ac:dyDescent="0.3">
      <c r="A31" s="23"/>
      <c r="B31" s="3" t="s">
        <v>313</v>
      </c>
      <c r="C31" s="6">
        <v>243.8</v>
      </c>
      <c r="D31" s="3">
        <f t="shared" si="7"/>
        <v>238.54999999999998</v>
      </c>
      <c r="E31" s="3">
        <f t="shared" si="6"/>
        <v>5.2500000000000284</v>
      </c>
      <c r="F31" s="3">
        <f t="shared" si="2"/>
        <v>5.2500000000000284</v>
      </c>
      <c r="G31" s="3">
        <f t="shared" si="3"/>
        <v>27.562500000000298</v>
      </c>
    </row>
    <row r="32" spans="1:14" x14ac:dyDescent="0.3">
      <c r="A32" s="21" t="s">
        <v>309</v>
      </c>
      <c r="B32" s="3">
        <v>8</v>
      </c>
      <c r="C32" s="2">
        <v>239</v>
      </c>
      <c r="D32" s="3">
        <f>(SUM($C$32:$C$41)-C32)/(COUNT($C$32:$C$41)-1)</f>
        <v>239.06666666666666</v>
      </c>
      <c r="E32" s="3">
        <f t="shared" si="6"/>
        <v>-6.6666666666662877E-2</v>
      </c>
      <c r="F32" s="3">
        <f t="shared" si="2"/>
        <v>6.6666666666662877E-2</v>
      </c>
      <c r="G32" s="3">
        <f t="shared" si="3"/>
        <v>4.4444444444439388E-3</v>
      </c>
    </row>
    <row r="33" spans="1:7" x14ac:dyDescent="0.3">
      <c r="A33" s="22"/>
      <c r="B33" s="3">
        <v>9</v>
      </c>
      <c r="C33" s="2">
        <v>237.4</v>
      </c>
      <c r="D33" s="3">
        <f t="shared" ref="D33:D41" si="8">(SUM($C$32:$C$41)-C33)/(COUNT($C$32:$C$41)-1)</f>
        <v>239.24444444444441</v>
      </c>
      <c r="E33" s="3">
        <f t="shared" si="6"/>
        <v>-1.8444444444444059</v>
      </c>
      <c r="F33" s="3">
        <f t="shared" si="2"/>
        <v>1.8444444444444059</v>
      </c>
      <c r="G33" s="3">
        <f t="shared" si="3"/>
        <v>3.4019753086418332</v>
      </c>
    </row>
    <row r="34" spans="1:7" x14ac:dyDescent="0.3">
      <c r="A34" s="22"/>
      <c r="B34" s="3">
        <v>10</v>
      </c>
      <c r="C34" s="2">
        <v>243.6</v>
      </c>
      <c r="D34" s="3">
        <f t="shared" si="8"/>
        <v>238.55555555555554</v>
      </c>
      <c r="E34" s="3">
        <f t="shared" si="6"/>
        <v>5.0444444444444514</v>
      </c>
      <c r="F34" s="3">
        <f t="shared" si="2"/>
        <v>5.0444444444444514</v>
      </c>
      <c r="G34" s="3">
        <f t="shared" si="3"/>
        <v>25.446419753086492</v>
      </c>
    </row>
    <row r="35" spans="1:7" x14ac:dyDescent="0.3">
      <c r="A35" s="22"/>
      <c r="B35" s="3">
        <v>11</v>
      </c>
      <c r="C35" s="2">
        <v>238.1</v>
      </c>
      <c r="D35" s="3">
        <f t="shared" si="8"/>
        <v>239.16666666666666</v>
      </c>
      <c r="E35" s="3">
        <f t="shared" si="6"/>
        <v>-1.0666666666666629</v>
      </c>
      <c r="F35" s="3">
        <f t="shared" si="2"/>
        <v>1.0666666666666629</v>
      </c>
      <c r="G35" s="3">
        <f t="shared" si="3"/>
        <v>1.1377777777777698</v>
      </c>
    </row>
    <row r="36" spans="1:7" x14ac:dyDescent="0.3">
      <c r="A36" s="22"/>
      <c r="B36" s="3">
        <v>12</v>
      </c>
      <c r="C36" s="2">
        <v>235.9</v>
      </c>
      <c r="D36" s="3">
        <f t="shared" si="8"/>
        <v>239.4111111111111</v>
      </c>
      <c r="E36" s="3">
        <f t="shared" si="6"/>
        <v>-3.5111111111110915</v>
      </c>
      <c r="F36" s="3">
        <f t="shared" si="2"/>
        <v>3.5111111111110915</v>
      </c>
      <c r="G36" s="3">
        <f t="shared" si="3"/>
        <v>12.327901234567763</v>
      </c>
    </row>
    <row r="37" spans="1:7" x14ac:dyDescent="0.3">
      <c r="A37" s="22"/>
      <c r="B37" s="3">
        <v>16</v>
      </c>
      <c r="C37" s="2">
        <v>239.6</v>
      </c>
      <c r="D37" s="3">
        <f t="shared" si="8"/>
        <v>239</v>
      </c>
      <c r="E37" s="3">
        <f t="shared" si="6"/>
        <v>0.59999999999999432</v>
      </c>
      <c r="F37" s="3">
        <f t="shared" si="2"/>
        <v>0.59999999999999432</v>
      </c>
      <c r="G37" s="3">
        <f t="shared" si="3"/>
        <v>0.35999999999999316</v>
      </c>
    </row>
    <row r="38" spans="1:7" x14ac:dyDescent="0.3">
      <c r="A38" s="22"/>
      <c r="B38" s="3">
        <v>20</v>
      </c>
      <c r="C38" s="2">
        <v>237.5</v>
      </c>
      <c r="D38" s="3">
        <f t="shared" si="8"/>
        <v>239.23333333333332</v>
      </c>
      <c r="E38" s="3">
        <f t="shared" si="6"/>
        <v>-1.7333333333333201</v>
      </c>
      <c r="F38" s="3">
        <f t="shared" si="2"/>
        <v>1.7333333333333201</v>
      </c>
      <c r="G38" s="3">
        <f t="shared" si="3"/>
        <v>3.0044444444443985</v>
      </c>
    </row>
    <row r="39" spans="1:7" x14ac:dyDescent="0.3">
      <c r="A39" s="22"/>
      <c r="B39" s="3">
        <v>0</v>
      </c>
      <c r="C39" s="2">
        <v>238.4</v>
      </c>
      <c r="D39" s="3">
        <f t="shared" si="8"/>
        <v>239.13333333333333</v>
      </c>
      <c r="E39" s="3">
        <f t="shared" si="6"/>
        <v>-0.73333333333332007</v>
      </c>
      <c r="F39" s="3">
        <f t="shared" si="2"/>
        <v>0.73333333333332007</v>
      </c>
      <c r="G39" s="3">
        <f t="shared" si="3"/>
        <v>0.53777777777775837</v>
      </c>
    </row>
    <row r="40" spans="1:7" x14ac:dyDescent="0.3">
      <c r="A40" s="22"/>
      <c r="B40" s="3" t="s">
        <v>312</v>
      </c>
      <c r="C40" s="6">
        <v>239.1</v>
      </c>
      <c r="D40" s="3">
        <f t="shared" si="8"/>
        <v>239.05555555555554</v>
      </c>
      <c r="E40" s="3">
        <f t="shared" si="6"/>
        <v>4.4444444444451392E-2</v>
      </c>
      <c r="F40" s="3">
        <f t="shared" si="2"/>
        <v>4.4444444444451392E-2</v>
      </c>
      <c r="G40" s="3">
        <f t="shared" si="3"/>
        <v>1.9753086419759263E-3</v>
      </c>
    </row>
    <row r="41" spans="1:7" x14ac:dyDescent="0.3">
      <c r="A41" s="23"/>
      <c r="B41" s="3" t="s">
        <v>313</v>
      </c>
      <c r="C41" s="6">
        <v>242</v>
      </c>
      <c r="D41" s="3">
        <f t="shared" si="8"/>
        <v>238.73333333333332</v>
      </c>
      <c r="E41" s="3">
        <f t="shared" si="6"/>
        <v>3.2666666666666799</v>
      </c>
      <c r="F41" s="3">
        <f t="shared" si="2"/>
        <v>3.2666666666666799</v>
      </c>
      <c r="G41" s="3">
        <f t="shared" si="3"/>
        <v>10.671111111111198</v>
      </c>
    </row>
    <row r="42" spans="1:7" x14ac:dyDescent="0.3">
      <c r="A42" s="21" t="s">
        <v>310</v>
      </c>
      <c r="B42" s="3">
        <v>8</v>
      </c>
      <c r="C42" s="2">
        <v>242.2</v>
      </c>
      <c r="D42" s="3">
        <f>(SUM($C$42:$C$51)-C42)/(COUNT($C$42:$C$51)-1)</f>
        <v>243.37777777777779</v>
      </c>
      <c r="E42" s="3">
        <f t="shared" si="6"/>
        <v>-1.1777777777778056</v>
      </c>
      <c r="F42" s="3">
        <f t="shared" si="2"/>
        <v>1.1777777777778056</v>
      </c>
      <c r="G42" s="3">
        <f t="shared" si="3"/>
        <v>1.3871604938272259</v>
      </c>
    </row>
    <row r="43" spans="1:7" x14ac:dyDescent="0.3">
      <c r="A43" s="22"/>
      <c r="B43" s="3">
        <v>9</v>
      </c>
      <c r="C43" s="2">
        <v>241.8</v>
      </c>
      <c r="D43" s="3">
        <f t="shared" ref="D43:D51" si="9">(SUM($C$42:$C$51)-C43)/(COUNT($C$42:$C$51)-1)</f>
        <v>243.42222222222219</v>
      </c>
      <c r="E43" s="3">
        <f t="shared" si="6"/>
        <v>-1.6222222222221774</v>
      </c>
      <c r="F43" s="3">
        <f t="shared" si="2"/>
        <v>1.6222222222221774</v>
      </c>
      <c r="G43" s="3">
        <f t="shared" si="3"/>
        <v>2.6316049382714595</v>
      </c>
    </row>
    <row r="44" spans="1:7" x14ac:dyDescent="0.3">
      <c r="A44" s="22"/>
      <c r="B44" s="3">
        <v>10</v>
      </c>
      <c r="C44" s="2">
        <v>241.9</v>
      </c>
      <c r="D44" s="3">
        <f t="shared" si="9"/>
        <v>243.4111111111111</v>
      </c>
      <c r="E44" s="3">
        <f t="shared" si="6"/>
        <v>-1.5111111111110915</v>
      </c>
      <c r="F44" s="3">
        <f t="shared" si="2"/>
        <v>1.5111111111110915</v>
      </c>
      <c r="G44" s="3">
        <f t="shared" si="3"/>
        <v>2.2834567901233975</v>
      </c>
    </row>
    <row r="45" spans="1:7" x14ac:dyDescent="0.3">
      <c r="A45" s="22"/>
      <c r="B45" s="3">
        <v>11</v>
      </c>
      <c r="C45" s="2">
        <v>242.4</v>
      </c>
      <c r="D45" s="3">
        <f t="shared" si="9"/>
        <v>243.35555555555553</v>
      </c>
      <c r="E45" s="3">
        <f t="shared" si="6"/>
        <v>-0.95555555555552019</v>
      </c>
      <c r="F45" s="3">
        <f t="shared" si="2"/>
        <v>0.95555555555552019</v>
      </c>
      <c r="G45" s="3">
        <f t="shared" si="3"/>
        <v>0.91308641975301885</v>
      </c>
    </row>
    <row r="46" spans="1:7" x14ac:dyDescent="0.3">
      <c r="A46" s="22"/>
      <c r="B46" s="3">
        <v>12</v>
      </c>
      <c r="C46" s="2">
        <v>252.5</v>
      </c>
      <c r="D46" s="3">
        <f t="shared" si="9"/>
        <v>242.23333333333332</v>
      </c>
      <c r="E46" s="3">
        <f t="shared" si="6"/>
        <v>10.26666666666668</v>
      </c>
      <c r="F46" s="3">
        <f t="shared" si="2"/>
        <v>10.26666666666668</v>
      </c>
      <c r="G46" s="3">
        <f t="shared" si="3"/>
        <v>105.40444444444472</v>
      </c>
    </row>
    <row r="47" spans="1:7" x14ac:dyDescent="0.3">
      <c r="A47" s="22"/>
      <c r="B47" s="3">
        <v>16</v>
      </c>
      <c r="C47" s="2">
        <v>242.6</v>
      </c>
      <c r="D47" s="3">
        <f t="shared" si="9"/>
        <v>243.33333333333334</v>
      </c>
      <c r="E47" s="3">
        <f t="shared" si="6"/>
        <v>-0.73333333333334849</v>
      </c>
      <c r="F47" s="3">
        <f t="shared" si="2"/>
        <v>0.73333333333334849</v>
      </c>
      <c r="G47" s="3">
        <f t="shared" si="3"/>
        <v>0.5377777777778</v>
      </c>
    </row>
    <row r="48" spans="1:7" x14ac:dyDescent="0.3">
      <c r="A48" s="22"/>
      <c r="B48" s="3">
        <v>20</v>
      </c>
      <c r="C48" s="2">
        <v>241.6</v>
      </c>
      <c r="D48" s="3">
        <f t="shared" si="9"/>
        <v>243.44444444444446</v>
      </c>
      <c r="E48" s="3">
        <f t="shared" si="6"/>
        <v>-1.8444444444444628</v>
      </c>
      <c r="F48" s="3">
        <f t="shared" si="2"/>
        <v>1.8444444444444628</v>
      </c>
      <c r="G48" s="3">
        <f t="shared" si="3"/>
        <v>3.4019753086420428</v>
      </c>
    </row>
    <row r="49" spans="1:7" x14ac:dyDescent="0.3">
      <c r="A49" s="22"/>
      <c r="B49" s="3">
        <v>0</v>
      </c>
      <c r="C49" s="2">
        <v>242.7</v>
      </c>
      <c r="D49" s="3">
        <f t="shared" si="9"/>
        <v>243.32222222222222</v>
      </c>
      <c r="E49" s="3">
        <f t="shared" si="6"/>
        <v>-0.62222222222223422</v>
      </c>
      <c r="F49" s="3">
        <f t="shared" si="2"/>
        <v>0.62222222222223422</v>
      </c>
      <c r="G49" s="3">
        <f t="shared" si="3"/>
        <v>0.38716049382717543</v>
      </c>
    </row>
    <row r="50" spans="1:7" x14ac:dyDescent="0.3">
      <c r="A50" s="22"/>
      <c r="B50" s="3" t="s">
        <v>312</v>
      </c>
      <c r="C50" s="6">
        <v>242.8</v>
      </c>
      <c r="D50" s="3">
        <f t="shared" si="9"/>
        <v>243.31111111111107</v>
      </c>
      <c r="E50" s="3">
        <f t="shared" si="6"/>
        <v>-0.51111111111106311</v>
      </c>
      <c r="F50" s="3">
        <f t="shared" si="2"/>
        <v>0.51111111111106311</v>
      </c>
      <c r="G50" s="3">
        <f t="shared" si="3"/>
        <v>0.26123456790118549</v>
      </c>
    </row>
    <row r="51" spans="1:7" x14ac:dyDescent="0.3">
      <c r="A51" s="23"/>
      <c r="B51" s="3" t="s">
        <v>313</v>
      </c>
      <c r="C51" s="6">
        <v>242.1</v>
      </c>
      <c r="D51" s="3">
        <f t="shared" si="9"/>
        <v>243.38888888888889</v>
      </c>
      <c r="E51" s="3">
        <f t="shared" si="6"/>
        <v>-1.2888888888888914</v>
      </c>
      <c r="F51" s="3">
        <f t="shared" si="2"/>
        <v>1.2888888888888914</v>
      </c>
      <c r="G51" s="3">
        <f t="shared" si="3"/>
        <v>1.661234567901241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6C76-B707-4D62-9DF6-FDE4F13F0998}">
  <dimension ref="A1:O5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298</v>
      </c>
      <c r="D1" s="10" t="s">
        <v>328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0</v>
      </c>
      <c r="D2" s="3">
        <f>(SUM($C$2:$C$11)-C2)/(COUNT($C$2:$C$11)-1)</f>
        <v>1.8888888888888889E-2</v>
      </c>
      <c r="E2" s="3">
        <f>C2-D2</f>
        <v>-1.8888888888888889E-2</v>
      </c>
      <c r="F2" s="3">
        <f>ABS(E2)</f>
        <v>1.8888888888888889E-2</v>
      </c>
      <c r="G2" s="3">
        <f>E2^2</f>
        <v>3.5679012345679015E-4</v>
      </c>
    </row>
    <row r="3" spans="1:15" x14ac:dyDescent="0.3">
      <c r="A3" s="22"/>
      <c r="B3" s="3">
        <v>9</v>
      </c>
      <c r="C3" s="3">
        <v>0</v>
      </c>
      <c r="D3" s="3">
        <f t="shared" ref="D3:D11" si="0">(SUM($C$2:$C$11)-C3)/(COUNT($C$2:$C$11)-1)</f>
        <v>1.8888888888888889E-2</v>
      </c>
      <c r="E3" s="3">
        <f t="shared" ref="E3:E11" si="1">C3-D3</f>
        <v>-1.8888888888888889E-2</v>
      </c>
      <c r="F3" s="3">
        <f t="shared" ref="F3:F51" si="2">ABS(E3)</f>
        <v>1.8888888888888889E-2</v>
      </c>
      <c r="G3" s="3">
        <f t="shared" ref="G3:G51" si="3">E3^2</f>
        <v>3.5679012345679015E-4</v>
      </c>
    </row>
    <row r="4" spans="1:15" x14ac:dyDescent="0.3">
      <c r="A4" s="22"/>
      <c r="B4" s="3">
        <v>10</v>
      </c>
      <c r="C4" s="3">
        <v>0</v>
      </c>
      <c r="D4" s="3">
        <f t="shared" si="0"/>
        <v>1.8888888888888889E-2</v>
      </c>
      <c r="E4" s="3">
        <f t="shared" si="1"/>
        <v>-1.8888888888888889E-2</v>
      </c>
      <c r="F4" s="3">
        <f t="shared" si="2"/>
        <v>1.8888888888888889E-2</v>
      </c>
      <c r="G4" s="3">
        <f t="shared" si="3"/>
        <v>3.5679012345679015E-4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0</v>
      </c>
      <c r="D5" s="3">
        <f t="shared" si="0"/>
        <v>1.8888888888888889E-2</v>
      </c>
      <c r="E5" s="3">
        <f t="shared" si="1"/>
        <v>-1.8888888888888889E-2</v>
      </c>
      <c r="F5" s="3">
        <f t="shared" si="2"/>
        <v>1.8888888888888889E-2</v>
      </c>
      <c r="G5" s="3">
        <f t="shared" si="3"/>
        <v>3.5679012345679015E-4</v>
      </c>
      <c r="J5" s="2" t="s">
        <v>297</v>
      </c>
      <c r="K5" s="3">
        <f>AVERAGE(E6:E11)</f>
        <v>1.2592592592592591E-2</v>
      </c>
      <c r="L5" s="3">
        <f>AVERAGE(F6:F11)</f>
        <v>3.1481481481481478E-2</v>
      </c>
      <c r="M5" s="3">
        <f>AVERAGE(G6:G11)</f>
        <v>1.4925925925925925E-3</v>
      </c>
      <c r="N5" s="3">
        <f>SQRT(M5)</f>
        <v>3.8634085890474908E-2</v>
      </c>
      <c r="O5" s="3">
        <f>N5/AVERAGE(C6:C11)*100</f>
        <v>136.35559726049965</v>
      </c>
    </row>
    <row r="6" spans="1:15" x14ac:dyDescent="0.3">
      <c r="A6" s="22"/>
      <c r="B6" s="3">
        <v>12</v>
      </c>
      <c r="C6" s="3">
        <v>0</v>
      </c>
      <c r="D6" s="3">
        <f t="shared" si="0"/>
        <v>1.8888888888888889E-2</v>
      </c>
      <c r="E6" s="3">
        <f t="shared" si="1"/>
        <v>-1.8888888888888889E-2</v>
      </c>
      <c r="F6" s="3">
        <f t="shared" si="2"/>
        <v>1.8888888888888889E-2</v>
      </c>
      <c r="G6" s="3">
        <f t="shared" si="3"/>
        <v>3.5679012345679015E-4</v>
      </c>
      <c r="J6" s="2">
        <v>33</v>
      </c>
      <c r="K6" s="3">
        <f>AVERAGE(E16:E21)</f>
        <v>4.0740740740740744E-2</v>
      </c>
      <c r="L6" s="3">
        <f>AVERAGE(F16:F21)</f>
        <v>0.12962962962962965</v>
      </c>
      <c r="M6" s="3">
        <f>AVERAGE(G16:G21)</f>
        <v>4.6049382716049393E-2</v>
      </c>
      <c r="N6" s="3">
        <f t="shared" ref="N6:N9" si="4">SQRT(M6)</f>
        <v>0.21459119906475521</v>
      </c>
      <c r="O6" s="3">
        <f>N6/AVERAGE(C16:C21)*100</f>
        <v>201.17924912320802</v>
      </c>
    </row>
    <row r="7" spans="1:15" x14ac:dyDescent="0.3">
      <c r="A7" s="22"/>
      <c r="B7" s="3">
        <v>16</v>
      </c>
      <c r="C7" s="3">
        <v>0</v>
      </c>
      <c r="D7" s="3">
        <f t="shared" si="0"/>
        <v>1.8888888888888889E-2</v>
      </c>
      <c r="E7" s="3">
        <f t="shared" si="1"/>
        <v>-1.8888888888888889E-2</v>
      </c>
      <c r="F7" s="3">
        <f t="shared" si="2"/>
        <v>1.8888888888888889E-2</v>
      </c>
      <c r="G7" s="3">
        <f t="shared" si="3"/>
        <v>3.5679012345679015E-4</v>
      </c>
      <c r="J7" s="2">
        <v>46</v>
      </c>
      <c r="K7" s="3">
        <f>AVERAGE(E26:E31)</f>
        <v>4.2592592592592592E-2</v>
      </c>
      <c r="L7" s="3">
        <f>AVERAGE(F26:F31)</f>
        <v>0.12407407407407406</v>
      </c>
      <c r="M7" s="3">
        <f>AVERAGE(G26:G31)</f>
        <v>2.9938271604938272E-2</v>
      </c>
      <c r="N7" s="3">
        <f t="shared" si="4"/>
        <v>0.17302679447108263</v>
      </c>
      <c r="O7" s="3">
        <f>N7/AVERAGE(C26:C31)*100</f>
        <v>146.21982631359097</v>
      </c>
    </row>
    <row r="8" spans="1:15" x14ac:dyDescent="0.3">
      <c r="A8" s="22"/>
      <c r="B8" s="3">
        <v>20</v>
      </c>
      <c r="C8" s="3">
        <v>0.04</v>
      </c>
      <c r="D8" s="3">
        <f t="shared" si="0"/>
        <v>1.4444444444444446E-2</v>
      </c>
      <c r="E8" s="3">
        <f t="shared" si="1"/>
        <v>2.5555555555555554E-2</v>
      </c>
      <c r="F8" s="3">
        <f t="shared" si="2"/>
        <v>2.5555555555555554E-2</v>
      </c>
      <c r="G8" s="3">
        <f t="shared" si="3"/>
        <v>6.5308641975308634E-4</v>
      </c>
      <c r="J8" s="2" t="s">
        <v>309</v>
      </c>
      <c r="K8" s="3">
        <f>AVERAGE(E36:E41)</f>
        <v>8.5185185185185155E-3</v>
      </c>
      <c r="L8" s="3">
        <f>AVERAGE(F36:F41)</f>
        <v>3.1481481481481478E-2</v>
      </c>
      <c r="M8" s="3">
        <f>AVERAGE(G36:G41)</f>
        <v>1.6123456790123451E-3</v>
      </c>
      <c r="N8" s="3">
        <f t="shared" si="4"/>
        <v>4.0154024443539216E-2</v>
      </c>
      <c r="O8" s="3">
        <f>N8/AVERAGE(C36:C41)*100</f>
        <v>96.369658664494125</v>
      </c>
    </row>
    <row r="9" spans="1:15" x14ac:dyDescent="0.3">
      <c r="A9" s="22"/>
      <c r="B9" s="3">
        <v>0</v>
      </c>
      <c r="C9" s="3">
        <v>0</v>
      </c>
      <c r="D9" s="3">
        <f t="shared" si="0"/>
        <v>1.8888888888888889E-2</v>
      </c>
      <c r="E9" s="3">
        <f t="shared" si="1"/>
        <v>-1.8888888888888889E-2</v>
      </c>
      <c r="F9" s="3">
        <f t="shared" si="2"/>
        <v>1.8888888888888889E-2</v>
      </c>
      <c r="G9" s="3">
        <f t="shared" si="3"/>
        <v>3.5679012345679015E-4</v>
      </c>
      <c r="J9" s="2" t="s">
        <v>310</v>
      </c>
      <c r="K9" s="3">
        <f>AVERAGE(E46:E51)</f>
        <v>9.2592592592592605E-3</v>
      </c>
      <c r="L9" s="3">
        <f>AVERAGE(F46:F51)</f>
        <v>2.5925925925925925E-2</v>
      </c>
      <c r="M9" s="3">
        <f>AVERAGE(G46:G51)</f>
        <v>9.7736625514403298E-4</v>
      </c>
      <c r="N9" s="3">
        <f t="shared" si="4"/>
        <v>3.1262857437285428E-2</v>
      </c>
      <c r="O9" s="3">
        <f>N9/AVERAGE(C46:C51)*100</f>
        <v>93.788572311856285</v>
      </c>
    </row>
    <row r="10" spans="1:15" x14ac:dyDescent="0.3">
      <c r="A10" s="22"/>
      <c r="B10" s="3" t="s">
        <v>312</v>
      </c>
      <c r="C10" s="3">
        <v>0.09</v>
      </c>
      <c r="D10" s="3">
        <f t="shared" si="0"/>
        <v>8.8888888888888906E-3</v>
      </c>
      <c r="E10" s="3">
        <f t="shared" si="1"/>
        <v>8.1111111111111106E-2</v>
      </c>
      <c r="F10" s="3">
        <f t="shared" si="2"/>
        <v>8.1111111111111106E-2</v>
      </c>
      <c r="G10" s="3">
        <f t="shared" si="3"/>
        <v>6.5790123456790119E-3</v>
      </c>
    </row>
    <row r="11" spans="1:15" x14ac:dyDescent="0.3">
      <c r="A11" s="23"/>
      <c r="B11" s="3" t="s">
        <v>313</v>
      </c>
      <c r="C11" s="3">
        <v>0.04</v>
      </c>
      <c r="D11" s="3">
        <f t="shared" si="0"/>
        <v>1.4444444444444446E-2</v>
      </c>
      <c r="E11" s="3">
        <f t="shared" si="1"/>
        <v>2.5555555555555554E-2</v>
      </c>
      <c r="F11" s="3">
        <f t="shared" si="2"/>
        <v>2.5555555555555554E-2</v>
      </c>
      <c r="G11" s="3">
        <f t="shared" si="3"/>
        <v>6.5308641975308634E-4</v>
      </c>
    </row>
    <row r="12" spans="1:15" x14ac:dyDescent="0.3">
      <c r="A12" s="21">
        <v>33</v>
      </c>
      <c r="B12" s="3">
        <v>8</v>
      </c>
      <c r="C12" s="3">
        <v>0.01</v>
      </c>
      <c r="D12" s="3">
        <f>(SUM($C$12:$C$21)-C12)/(COUNT($C$12:$C$21)-1)</f>
        <v>7.6666666666666675E-2</v>
      </c>
      <c r="E12" s="3">
        <f>C12-D12</f>
        <v>-6.666666666666668E-2</v>
      </c>
      <c r="F12" s="3">
        <f t="shared" si="2"/>
        <v>6.666666666666668E-2</v>
      </c>
      <c r="G12" s="3">
        <f t="shared" si="3"/>
        <v>4.4444444444444462E-3</v>
      </c>
      <c r="K12" s="4"/>
      <c r="L12" s="4"/>
      <c r="M12" s="4"/>
      <c r="N12" s="4"/>
    </row>
    <row r="13" spans="1:15" x14ac:dyDescent="0.3">
      <c r="A13" s="22"/>
      <c r="B13" s="3">
        <v>9</v>
      </c>
      <c r="C13" s="3">
        <v>0.04</v>
      </c>
      <c r="D13" s="3">
        <f t="shared" ref="D13:D21" si="5">(SUM($C$12:$C$21)-C13)/(COUNT($C$12:$C$21)-1)</f>
        <v>7.3333333333333334E-2</v>
      </c>
      <c r="E13" s="3">
        <f t="shared" ref="E13:E51" si="6">C13-D13</f>
        <v>-3.3333333333333333E-2</v>
      </c>
      <c r="F13" s="3">
        <f t="shared" si="2"/>
        <v>3.3333333333333333E-2</v>
      </c>
      <c r="G13" s="3">
        <f t="shared" si="3"/>
        <v>1.1111111111111111E-3</v>
      </c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0.01</v>
      </c>
      <c r="D14" s="3">
        <f t="shared" si="5"/>
        <v>7.6666666666666675E-2</v>
      </c>
      <c r="E14" s="3">
        <f t="shared" si="6"/>
        <v>-6.666666666666668E-2</v>
      </c>
      <c r="F14" s="3">
        <f t="shared" si="2"/>
        <v>6.666666666666668E-2</v>
      </c>
      <c r="G14" s="3">
        <f t="shared" si="3"/>
        <v>4.4444444444444462E-3</v>
      </c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</v>
      </c>
      <c r="D15" s="3">
        <f t="shared" si="5"/>
        <v>7.7777777777777779E-2</v>
      </c>
      <c r="E15" s="3">
        <f t="shared" si="6"/>
        <v>-7.7777777777777779E-2</v>
      </c>
      <c r="F15" s="3">
        <f t="shared" si="2"/>
        <v>7.7777777777777779E-2</v>
      </c>
      <c r="G15" s="3">
        <f t="shared" si="3"/>
        <v>6.0493827160493828E-3</v>
      </c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0.01</v>
      </c>
      <c r="D16" s="3">
        <f t="shared" si="5"/>
        <v>7.6666666666666675E-2</v>
      </c>
      <c r="E16" s="3">
        <f t="shared" si="6"/>
        <v>-6.666666666666668E-2</v>
      </c>
      <c r="F16" s="3">
        <f t="shared" si="2"/>
        <v>6.666666666666668E-2</v>
      </c>
      <c r="G16" s="3">
        <f t="shared" si="3"/>
        <v>4.4444444444444462E-3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0.02</v>
      </c>
      <c r="D17" s="3">
        <f t="shared" si="5"/>
        <v>7.5555555555555556E-2</v>
      </c>
      <c r="E17" s="3">
        <f t="shared" si="6"/>
        <v>-5.5555555555555552E-2</v>
      </c>
      <c r="F17" s="3">
        <f t="shared" si="2"/>
        <v>5.5555555555555552E-2</v>
      </c>
      <c r="G17" s="3">
        <f t="shared" si="3"/>
        <v>3.0864197530864196E-3</v>
      </c>
    </row>
    <row r="18" spans="1:7" x14ac:dyDescent="0.3">
      <c r="A18" s="22"/>
      <c r="B18" s="3">
        <v>20</v>
      </c>
      <c r="C18" s="3">
        <v>0.01</v>
      </c>
      <c r="D18" s="3">
        <f t="shared" si="5"/>
        <v>7.6666666666666675E-2</v>
      </c>
      <c r="E18" s="3">
        <f t="shared" si="6"/>
        <v>-6.666666666666668E-2</v>
      </c>
      <c r="F18" s="3">
        <f t="shared" si="2"/>
        <v>6.666666666666668E-2</v>
      </c>
      <c r="G18" s="3">
        <f t="shared" si="3"/>
        <v>4.4444444444444462E-3</v>
      </c>
    </row>
    <row r="19" spans="1:7" x14ac:dyDescent="0.3">
      <c r="A19" s="22"/>
      <c r="B19" s="3">
        <v>0</v>
      </c>
      <c r="C19" s="3">
        <v>0.03</v>
      </c>
      <c r="D19" s="3">
        <f t="shared" si="5"/>
        <v>7.4444444444444452E-2</v>
      </c>
      <c r="E19" s="3">
        <f t="shared" si="6"/>
        <v>-4.4444444444444453E-2</v>
      </c>
      <c r="F19" s="3">
        <f t="shared" si="2"/>
        <v>4.4444444444444453E-2</v>
      </c>
      <c r="G19" s="3">
        <f t="shared" si="3"/>
        <v>1.9753086419753096E-3</v>
      </c>
    </row>
    <row r="20" spans="1:7" x14ac:dyDescent="0.3">
      <c r="A20" s="22"/>
      <c r="B20" s="3" t="s">
        <v>312</v>
      </c>
      <c r="C20" s="3">
        <v>0.04</v>
      </c>
      <c r="D20" s="3">
        <f t="shared" si="5"/>
        <v>7.3333333333333334E-2</v>
      </c>
      <c r="E20" s="3">
        <f t="shared" si="6"/>
        <v>-3.3333333333333333E-2</v>
      </c>
      <c r="F20" s="3">
        <f t="shared" si="2"/>
        <v>3.3333333333333333E-2</v>
      </c>
      <c r="G20" s="3">
        <f t="shared" si="3"/>
        <v>1.1111111111111111E-3</v>
      </c>
    </row>
    <row r="21" spans="1:7" x14ac:dyDescent="0.3">
      <c r="A21" s="23"/>
      <c r="B21" s="3" t="s">
        <v>313</v>
      </c>
      <c r="C21" s="3">
        <v>0.53</v>
      </c>
      <c r="D21" s="3">
        <f t="shared" si="5"/>
        <v>1.8888888888888893E-2</v>
      </c>
      <c r="E21" s="3">
        <f t="shared" si="6"/>
        <v>0.51111111111111118</v>
      </c>
      <c r="F21" s="3">
        <f t="shared" si="2"/>
        <v>0.51111111111111118</v>
      </c>
      <c r="G21" s="3">
        <f t="shared" si="3"/>
        <v>0.26123456790123462</v>
      </c>
    </row>
    <row r="22" spans="1:7" x14ac:dyDescent="0.3">
      <c r="A22" s="21">
        <v>46</v>
      </c>
      <c r="B22" s="3">
        <v>8</v>
      </c>
      <c r="C22" s="3">
        <v>0.01</v>
      </c>
      <c r="D22" s="3">
        <f>(SUM($C$22:$C$31)-C22)/(COUNT($C$22:$C$31)-1)</f>
        <v>8.7777777777777788E-2</v>
      </c>
      <c r="E22" s="3">
        <f t="shared" si="6"/>
        <v>-7.7777777777777793E-2</v>
      </c>
      <c r="F22" s="3">
        <f t="shared" si="2"/>
        <v>7.7777777777777793E-2</v>
      </c>
      <c r="G22" s="3">
        <f t="shared" si="3"/>
        <v>6.0493827160493854E-3</v>
      </c>
    </row>
    <row r="23" spans="1:7" x14ac:dyDescent="0.3">
      <c r="A23" s="22"/>
      <c r="B23" s="3">
        <v>9</v>
      </c>
      <c r="C23" s="3">
        <v>0.02</v>
      </c>
      <c r="D23" s="3">
        <f t="shared" ref="D23:D31" si="7">(SUM($C$22:$C$31)-C23)/(COUNT($C$22:$C$31)-1)</f>
        <v>8.666666666666667E-2</v>
      </c>
      <c r="E23" s="3">
        <f t="shared" si="6"/>
        <v>-6.6666666666666666E-2</v>
      </c>
      <c r="F23" s="3">
        <f t="shared" si="2"/>
        <v>6.6666666666666666E-2</v>
      </c>
      <c r="G23" s="3">
        <f t="shared" si="3"/>
        <v>4.4444444444444444E-3</v>
      </c>
    </row>
    <row r="24" spans="1:7" x14ac:dyDescent="0.3">
      <c r="A24" s="22"/>
      <c r="B24" s="3">
        <v>10</v>
      </c>
      <c r="C24" s="3">
        <v>0.03</v>
      </c>
      <c r="D24" s="3">
        <f t="shared" si="7"/>
        <v>8.5555555555555551E-2</v>
      </c>
      <c r="E24" s="3">
        <f t="shared" si="6"/>
        <v>-5.5555555555555552E-2</v>
      </c>
      <c r="F24" s="3">
        <f t="shared" si="2"/>
        <v>5.5555555555555552E-2</v>
      </c>
      <c r="G24" s="3">
        <f t="shared" si="3"/>
        <v>3.0864197530864196E-3</v>
      </c>
    </row>
    <row r="25" spans="1:7" x14ac:dyDescent="0.3">
      <c r="A25" s="22"/>
      <c r="B25" s="3">
        <v>11</v>
      </c>
      <c r="C25" s="3">
        <v>0.03</v>
      </c>
      <c r="D25" s="3">
        <f t="shared" si="7"/>
        <v>8.5555555555555551E-2</v>
      </c>
      <c r="E25" s="3">
        <f t="shared" si="6"/>
        <v>-5.5555555555555552E-2</v>
      </c>
      <c r="F25" s="3">
        <f t="shared" si="2"/>
        <v>5.5555555555555552E-2</v>
      </c>
      <c r="G25" s="3">
        <f t="shared" si="3"/>
        <v>3.0864197530864196E-3</v>
      </c>
    </row>
    <row r="26" spans="1:7" x14ac:dyDescent="0.3">
      <c r="A26" s="22"/>
      <c r="B26" s="3">
        <v>12</v>
      </c>
      <c r="C26" s="3">
        <v>0.04</v>
      </c>
      <c r="D26" s="3">
        <f t="shared" si="7"/>
        <v>8.4444444444444447E-2</v>
      </c>
      <c r="E26" s="3">
        <f t="shared" si="6"/>
        <v>-4.4444444444444446E-2</v>
      </c>
      <c r="F26" s="3">
        <f t="shared" si="2"/>
        <v>4.4444444444444446E-2</v>
      </c>
      <c r="G26" s="3">
        <f t="shared" si="3"/>
        <v>1.9753086419753087E-3</v>
      </c>
    </row>
    <row r="27" spans="1:7" x14ac:dyDescent="0.3">
      <c r="A27" s="22"/>
      <c r="B27" s="3">
        <v>16</v>
      </c>
      <c r="C27" s="3">
        <v>0</v>
      </c>
      <c r="D27" s="3">
        <f t="shared" si="7"/>
        <v>8.8888888888888892E-2</v>
      </c>
      <c r="E27" s="3">
        <f t="shared" si="6"/>
        <v>-8.8888888888888892E-2</v>
      </c>
      <c r="F27" s="3">
        <f t="shared" si="2"/>
        <v>8.8888888888888892E-2</v>
      </c>
      <c r="G27" s="3">
        <f t="shared" si="3"/>
        <v>7.9012345679012348E-3</v>
      </c>
    </row>
    <row r="28" spans="1:7" x14ac:dyDescent="0.3">
      <c r="A28" s="22"/>
      <c r="B28" s="3">
        <v>20</v>
      </c>
      <c r="C28" s="3">
        <v>0.03</v>
      </c>
      <c r="D28" s="3">
        <f t="shared" si="7"/>
        <v>8.5555555555555551E-2</v>
      </c>
      <c r="E28" s="3">
        <f t="shared" si="6"/>
        <v>-5.5555555555555552E-2</v>
      </c>
      <c r="F28" s="3">
        <f t="shared" si="2"/>
        <v>5.5555555555555552E-2</v>
      </c>
      <c r="G28" s="3">
        <f t="shared" si="3"/>
        <v>3.0864197530864196E-3</v>
      </c>
    </row>
    <row r="29" spans="1:7" x14ac:dyDescent="0.3">
      <c r="A29" s="22"/>
      <c r="B29" s="3">
        <v>0</v>
      </c>
      <c r="C29" s="3">
        <v>0.03</v>
      </c>
      <c r="D29" s="3">
        <f t="shared" si="7"/>
        <v>8.5555555555555551E-2</v>
      </c>
      <c r="E29" s="3">
        <f t="shared" si="6"/>
        <v>-5.5555555555555552E-2</v>
      </c>
      <c r="F29" s="3">
        <f t="shared" si="2"/>
        <v>5.5555555555555552E-2</v>
      </c>
      <c r="G29" s="3">
        <f t="shared" si="3"/>
        <v>3.0864197530864196E-3</v>
      </c>
    </row>
    <row r="30" spans="1:7" x14ac:dyDescent="0.3">
      <c r="A30" s="22"/>
      <c r="B30" s="3" t="s">
        <v>312</v>
      </c>
      <c r="C30" s="3">
        <v>0.43</v>
      </c>
      <c r="D30" s="3">
        <f t="shared" si="7"/>
        <v>4.1111111111111119E-2</v>
      </c>
      <c r="E30" s="3">
        <f t="shared" si="6"/>
        <v>0.3888888888888889</v>
      </c>
      <c r="F30" s="3">
        <f t="shared" si="2"/>
        <v>0.3888888888888889</v>
      </c>
      <c r="G30" s="3">
        <f t="shared" si="3"/>
        <v>0.15123456790123457</v>
      </c>
    </row>
    <row r="31" spans="1:7" x14ac:dyDescent="0.3">
      <c r="A31" s="23"/>
      <c r="B31" s="3" t="s">
        <v>313</v>
      </c>
      <c r="C31" s="3">
        <v>0.18</v>
      </c>
      <c r="D31" s="3">
        <f t="shared" si="7"/>
        <v>6.8888888888888902E-2</v>
      </c>
      <c r="E31" s="3">
        <f t="shared" si="6"/>
        <v>0.11111111111111109</v>
      </c>
      <c r="F31" s="3">
        <f t="shared" si="2"/>
        <v>0.11111111111111109</v>
      </c>
      <c r="G31" s="3">
        <f t="shared" si="3"/>
        <v>1.2345679012345675E-2</v>
      </c>
    </row>
    <row r="32" spans="1:7" x14ac:dyDescent="0.3">
      <c r="A32" s="21" t="s">
        <v>309</v>
      </c>
      <c r="B32" s="3">
        <v>8</v>
      </c>
      <c r="C32" s="3">
        <v>0.03</v>
      </c>
      <c r="D32" s="3">
        <f>(SUM($C$32:$C$41)-C32)/(COUNT($C$32:$C$41)-1)</f>
        <v>3.4444444444444451E-2</v>
      </c>
      <c r="E32" s="3">
        <f t="shared" si="6"/>
        <v>-4.4444444444444522E-3</v>
      </c>
      <c r="F32" s="3">
        <f t="shared" si="2"/>
        <v>4.4444444444444522E-3</v>
      </c>
      <c r="G32" s="3">
        <f t="shared" si="3"/>
        <v>1.9753086419753154E-5</v>
      </c>
    </row>
    <row r="33" spans="1:7" x14ac:dyDescent="0.3">
      <c r="A33" s="22"/>
      <c r="B33" s="3">
        <v>9</v>
      </c>
      <c r="C33" s="3">
        <v>0.03</v>
      </c>
      <c r="D33" s="3">
        <f t="shared" ref="D33:D41" si="8">(SUM($C$32:$C$41)-C33)/(COUNT($C$32:$C$41)-1)</f>
        <v>3.4444444444444451E-2</v>
      </c>
      <c r="E33" s="3">
        <f t="shared" si="6"/>
        <v>-4.4444444444444522E-3</v>
      </c>
      <c r="F33" s="3">
        <f t="shared" si="2"/>
        <v>4.4444444444444522E-3</v>
      </c>
      <c r="G33" s="3">
        <f t="shared" si="3"/>
        <v>1.9753086419753154E-5</v>
      </c>
    </row>
    <row r="34" spans="1:7" x14ac:dyDescent="0.3">
      <c r="A34" s="22"/>
      <c r="B34" s="3">
        <v>10</v>
      </c>
      <c r="C34" s="3">
        <v>0.02</v>
      </c>
      <c r="D34" s="3">
        <f t="shared" si="8"/>
        <v>3.5555555555555556E-2</v>
      </c>
      <c r="E34" s="3">
        <f t="shared" si="6"/>
        <v>-1.5555555555555555E-2</v>
      </c>
      <c r="F34" s="3">
        <f t="shared" si="2"/>
        <v>1.5555555555555555E-2</v>
      </c>
      <c r="G34" s="3">
        <f t="shared" si="3"/>
        <v>2.419753086419753E-4</v>
      </c>
    </row>
    <row r="35" spans="1:7" x14ac:dyDescent="0.3">
      <c r="A35" s="22"/>
      <c r="B35" s="3">
        <v>11</v>
      </c>
      <c r="C35" s="3">
        <v>0.01</v>
      </c>
      <c r="D35" s="3">
        <f t="shared" si="8"/>
        <v>3.6666666666666667E-2</v>
      </c>
      <c r="E35" s="3">
        <f t="shared" si="6"/>
        <v>-2.6666666666666665E-2</v>
      </c>
      <c r="F35" s="3">
        <f t="shared" si="2"/>
        <v>2.6666666666666665E-2</v>
      </c>
      <c r="G35" s="3">
        <f t="shared" si="3"/>
        <v>7.1111111111111104E-4</v>
      </c>
    </row>
    <row r="36" spans="1:7" x14ac:dyDescent="0.3">
      <c r="A36" s="22"/>
      <c r="B36" s="3">
        <v>12</v>
      </c>
      <c r="C36" s="3">
        <v>0.04</v>
      </c>
      <c r="D36" s="3">
        <f t="shared" si="8"/>
        <v>3.333333333333334E-2</v>
      </c>
      <c r="E36" s="3">
        <f t="shared" si="6"/>
        <v>6.666666666666661E-3</v>
      </c>
      <c r="F36" s="3">
        <f t="shared" si="2"/>
        <v>6.666666666666661E-3</v>
      </c>
      <c r="G36" s="3">
        <f t="shared" si="3"/>
        <v>4.4444444444444372E-5</v>
      </c>
    </row>
    <row r="37" spans="1:7" x14ac:dyDescent="0.3">
      <c r="A37" s="22"/>
      <c r="B37" s="3">
        <v>16</v>
      </c>
      <c r="C37" s="3">
        <v>0.01</v>
      </c>
      <c r="D37" s="3">
        <f t="shared" si="8"/>
        <v>3.6666666666666667E-2</v>
      </c>
      <c r="E37" s="3">
        <f t="shared" si="6"/>
        <v>-2.6666666666666665E-2</v>
      </c>
      <c r="F37" s="3">
        <f t="shared" si="2"/>
        <v>2.6666666666666665E-2</v>
      </c>
      <c r="G37" s="3">
        <f t="shared" si="3"/>
        <v>7.1111111111111104E-4</v>
      </c>
    </row>
    <row r="38" spans="1:7" x14ac:dyDescent="0.3">
      <c r="A38" s="22"/>
      <c r="B38" s="3">
        <v>20</v>
      </c>
      <c r="C38" s="3">
        <v>0.01</v>
      </c>
      <c r="D38" s="3">
        <f t="shared" si="8"/>
        <v>3.6666666666666667E-2</v>
      </c>
      <c r="E38" s="3">
        <f t="shared" si="6"/>
        <v>-2.6666666666666665E-2</v>
      </c>
      <c r="F38" s="3">
        <f t="shared" si="2"/>
        <v>2.6666666666666665E-2</v>
      </c>
      <c r="G38" s="3">
        <f t="shared" si="3"/>
        <v>7.1111111111111104E-4</v>
      </c>
    </row>
    <row r="39" spans="1:7" x14ac:dyDescent="0.3">
      <c r="A39" s="22"/>
      <c r="B39" s="3">
        <v>0</v>
      </c>
      <c r="C39" s="3">
        <v>0.02</v>
      </c>
      <c r="D39" s="3">
        <f t="shared" si="8"/>
        <v>3.5555555555555556E-2</v>
      </c>
      <c r="E39" s="3">
        <f t="shared" si="6"/>
        <v>-1.5555555555555555E-2</v>
      </c>
      <c r="F39" s="3">
        <f t="shared" si="2"/>
        <v>1.5555555555555555E-2</v>
      </c>
      <c r="G39" s="3">
        <f t="shared" si="3"/>
        <v>2.419753086419753E-4</v>
      </c>
    </row>
    <row r="40" spans="1:7" x14ac:dyDescent="0.3">
      <c r="A40" s="22"/>
      <c r="B40" s="3" t="s">
        <v>312</v>
      </c>
      <c r="C40" s="3">
        <v>0.06</v>
      </c>
      <c r="D40" s="3">
        <f t="shared" si="8"/>
        <v>3.1111111111111114E-2</v>
      </c>
      <c r="E40" s="3">
        <f t="shared" si="6"/>
        <v>2.8888888888888884E-2</v>
      </c>
      <c r="F40" s="3">
        <f t="shared" si="2"/>
        <v>2.8888888888888884E-2</v>
      </c>
      <c r="G40" s="3">
        <f t="shared" si="3"/>
        <v>8.3456790123456759E-4</v>
      </c>
    </row>
    <row r="41" spans="1:7" x14ac:dyDescent="0.3">
      <c r="A41" s="23"/>
      <c r="B41" s="3" t="s">
        <v>313</v>
      </c>
      <c r="C41" s="3">
        <v>0.11</v>
      </c>
      <c r="D41" s="3">
        <f t="shared" si="8"/>
        <v>2.5555555555555561E-2</v>
      </c>
      <c r="E41" s="3">
        <f t="shared" si="6"/>
        <v>8.4444444444444433E-2</v>
      </c>
      <c r="F41" s="3">
        <f t="shared" si="2"/>
        <v>8.4444444444444433E-2</v>
      </c>
      <c r="G41" s="3">
        <f t="shared" si="3"/>
        <v>7.1308641975308621E-3</v>
      </c>
    </row>
    <row r="42" spans="1:7" x14ac:dyDescent="0.3">
      <c r="A42" s="21" t="s">
        <v>310</v>
      </c>
      <c r="B42" s="3">
        <v>8</v>
      </c>
      <c r="C42" s="3">
        <v>0.04</v>
      </c>
      <c r="D42" s="3">
        <f>(SUM($C$42:$C$51)-C42)/(COUNT($C$42:$C$51)-1)</f>
        <v>2.3333333333333331E-2</v>
      </c>
      <c r="E42" s="3">
        <f t="shared" si="6"/>
        <v>1.666666666666667E-2</v>
      </c>
      <c r="F42" s="3">
        <f t="shared" si="2"/>
        <v>1.666666666666667E-2</v>
      </c>
      <c r="G42" s="3">
        <f t="shared" si="3"/>
        <v>2.7777777777777789E-4</v>
      </c>
    </row>
    <row r="43" spans="1:7" x14ac:dyDescent="0.3">
      <c r="A43" s="22"/>
      <c r="B43" s="3">
        <v>9</v>
      </c>
      <c r="C43" s="3">
        <v>0</v>
      </c>
      <c r="D43" s="3">
        <f t="shared" ref="D43:D51" si="9">(SUM($C$42:$C$51)-C43)/(COUNT($C$42:$C$51)-1)</f>
        <v>2.7777777777777776E-2</v>
      </c>
      <c r="E43" s="3">
        <f t="shared" si="6"/>
        <v>-2.7777777777777776E-2</v>
      </c>
      <c r="F43" s="3">
        <f t="shared" si="2"/>
        <v>2.7777777777777776E-2</v>
      </c>
      <c r="G43" s="3">
        <f t="shared" si="3"/>
        <v>7.716049382716049E-4</v>
      </c>
    </row>
    <row r="44" spans="1:7" x14ac:dyDescent="0.3">
      <c r="A44" s="22"/>
      <c r="B44" s="3">
        <v>10</v>
      </c>
      <c r="C44" s="3">
        <v>0.01</v>
      </c>
      <c r="D44" s="3">
        <f t="shared" si="9"/>
        <v>2.6666666666666665E-2</v>
      </c>
      <c r="E44" s="3">
        <f t="shared" si="6"/>
        <v>-1.6666666666666663E-2</v>
      </c>
      <c r="F44" s="3">
        <f t="shared" si="2"/>
        <v>1.6666666666666663E-2</v>
      </c>
      <c r="G44" s="3">
        <f t="shared" si="3"/>
        <v>2.7777777777777767E-4</v>
      </c>
    </row>
    <row r="45" spans="1:7" x14ac:dyDescent="0.3">
      <c r="A45" s="22"/>
      <c r="B45" s="3">
        <v>11</v>
      </c>
      <c r="C45" s="3">
        <v>0</v>
      </c>
      <c r="D45" s="3">
        <f t="shared" si="9"/>
        <v>2.7777777777777776E-2</v>
      </c>
      <c r="E45" s="3">
        <f t="shared" si="6"/>
        <v>-2.7777777777777776E-2</v>
      </c>
      <c r="F45" s="3">
        <f t="shared" si="2"/>
        <v>2.7777777777777776E-2</v>
      </c>
      <c r="G45" s="3">
        <f t="shared" si="3"/>
        <v>7.716049382716049E-4</v>
      </c>
    </row>
    <row r="46" spans="1:7" x14ac:dyDescent="0.3">
      <c r="A46" s="22"/>
      <c r="B46" s="3">
        <v>12</v>
      </c>
      <c r="C46" s="3">
        <v>0</v>
      </c>
      <c r="D46" s="3">
        <f t="shared" si="9"/>
        <v>2.7777777777777776E-2</v>
      </c>
      <c r="E46" s="3">
        <f t="shared" si="6"/>
        <v>-2.7777777777777776E-2</v>
      </c>
      <c r="F46" s="3">
        <f t="shared" si="2"/>
        <v>2.7777777777777776E-2</v>
      </c>
      <c r="G46" s="3">
        <f t="shared" si="3"/>
        <v>7.716049382716049E-4</v>
      </c>
    </row>
    <row r="47" spans="1:7" x14ac:dyDescent="0.3">
      <c r="A47" s="22"/>
      <c r="B47" s="3">
        <v>16</v>
      </c>
      <c r="C47" s="3">
        <v>0.01</v>
      </c>
      <c r="D47" s="3">
        <f t="shared" si="9"/>
        <v>2.6666666666666665E-2</v>
      </c>
      <c r="E47" s="3">
        <f t="shared" si="6"/>
        <v>-1.6666666666666663E-2</v>
      </c>
      <c r="F47" s="3">
        <f t="shared" si="2"/>
        <v>1.6666666666666663E-2</v>
      </c>
      <c r="G47" s="3">
        <f t="shared" si="3"/>
        <v>2.7777777777777767E-4</v>
      </c>
    </row>
    <row r="48" spans="1:7" x14ac:dyDescent="0.3">
      <c r="A48" s="22"/>
      <c r="B48" s="3">
        <v>20</v>
      </c>
      <c r="C48" s="3">
        <v>0.02</v>
      </c>
      <c r="D48" s="3">
        <f t="shared" si="9"/>
        <v>2.5555555555555557E-2</v>
      </c>
      <c r="E48" s="3">
        <f t="shared" si="6"/>
        <v>-5.5555555555555566E-3</v>
      </c>
      <c r="F48" s="3">
        <f t="shared" si="2"/>
        <v>5.5555555555555566E-3</v>
      </c>
      <c r="G48" s="3">
        <f t="shared" si="3"/>
        <v>3.0864197530864212E-5</v>
      </c>
    </row>
    <row r="49" spans="1:7" x14ac:dyDescent="0.3">
      <c r="A49" s="22"/>
      <c r="B49" s="3">
        <v>0</v>
      </c>
      <c r="C49" s="3">
        <v>0.05</v>
      </c>
      <c r="D49" s="3">
        <f t="shared" si="9"/>
        <v>2.2222222222222223E-2</v>
      </c>
      <c r="E49" s="3">
        <f t="shared" si="6"/>
        <v>2.777777777777778E-2</v>
      </c>
      <c r="F49" s="3">
        <f t="shared" si="2"/>
        <v>2.777777777777778E-2</v>
      </c>
      <c r="G49" s="3">
        <f t="shared" si="3"/>
        <v>7.71604938271605E-4</v>
      </c>
    </row>
    <row r="50" spans="1:7" x14ac:dyDescent="0.3">
      <c r="A50" s="22"/>
      <c r="B50" s="3" t="s">
        <v>312</v>
      </c>
      <c r="C50" s="3">
        <v>0.04</v>
      </c>
      <c r="D50" s="3">
        <f t="shared" si="9"/>
        <v>2.3333333333333331E-2</v>
      </c>
      <c r="E50" s="3">
        <f t="shared" si="6"/>
        <v>1.666666666666667E-2</v>
      </c>
      <c r="F50" s="3">
        <f t="shared" si="2"/>
        <v>1.666666666666667E-2</v>
      </c>
      <c r="G50" s="3">
        <f t="shared" si="3"/>
        <v>2.7777777777777789E-4</v>
      </c>
    </row>
    <row r="51" spans="1:7" x14ac:dyDescent="0.3">
      <c r="A51" s="23"/>
      <c r="B51" s="3" t="s">
        <v>313</v>
      </c>
      <c r="C51" s="3">
        <v>0.08</v>
      </c>
      <c r="D51" s="3">
        <f t="shared" si="9"/>
        <v>1.8888888888888886E-2</v>
      </c>
      <c r="E51" s="3">
        <f t="shared" si="6"/>
        <v>6.1111111111111116E-2</v>
      </c>
      <c r="F51" s="3">
        <f t="shared" si="2"/>
        <v>6.1111111111111116E-2</v>
      </c>
      <c r="G51" s="3">
        <f t="shared" si="3"/>
        <v>3.7345679012345686E-3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F6A5-8223-4BE3-BD0B-0FAC81E23730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299</v>
      </c>
      <c r="D1" s="10" t="s">
        <v>329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0</v>
      </c>
      <c r="D2" s="3">
        <f>(SUM($C$2:$C$11)-C2)/(COUNT($C$2:$C$11)-1)</f>
        <v>1.1111111111111111E-3</v>
      </c>
      <c r="E2" s="3">
        <f>C2-D2</f>
        <v>-1.1111111111111111E-3</v>
      </c>
      <c r="F2" s="3">
        <f>ABS(E2)</f>
        <v>1.1111111111111111E-3</v>
      </c>
      <c r="G2" s="3">
        <f>E2^2</f>
        <v>1.2345679012345679E-6</v>
      </c>
    </row>
    <row r="3" spans="1:15" x14ac:dyDescent="0.3">
      <c r="A3" s="22"/>
      <c r="B3" s="3">
        <v>9</v>
      </c>
      <c r="C3" s="3">
        <v>0</v>
      </c>
      <c r="D3" s="3">
        <f t="shared" ref="D3:D11" si="0">(SUM($C$2:$C$11)-C3)/(COUNT($C$2:$C$11)-1)</f>
        <v>1.1111111111111111E-3</v>
      </c>
      <c r="E3" s="3">
        <f t="shared" ref="E3:E11" si="1">C3-D3</f>
        <v>-1.1111111111111111E-3</v>
      </c>
      <c r="F3" s="3">
        <f t="shared" ref="F3:F51" si="2">ABS(E3)</f>
        <v>1.1111111111111111E-3</v>
      </c>
      <c r="G3" s="3">
        <f t="shared" ref="G3:G51" si="3">E3^2</f>
        <v>1.2345679012345679E-6</v>
      </c>
    </row>
    <row r="4" spans="1:15" x14ac:dyDescent="0.3">
      <c r="A4" s="22"/>
      <c r="B4" s="3">
        <v>10</v>
      </c>
      <c r="C4" s="3">
        <v>0.01</v>
      </c>
      <c r="D4" s="3">
        <f t="shared" si="0"/>
        <v>0</v>
      </c>
      <c r="E4" s="3">
        <f t="shared" si="1"/>
        <v>0.01</v>
      </c>
      <c r="F4" s="3">
        <f t="shared" si="2"/>
        <v>0.01</v>
      </c>
      <c r="G4" s="3">
        <f t="shared" si="3"/>
        <v>1E-4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0</v>
      </c>
      <c r="D5" s="3">
        <f t="shared" si="0"/>
        <v>1.1111111111111111E-3</v>
      </c>
      <c r="E5" s="3">
        <f t="shared" si="1"/>
        <v>-1.1111111111111111E-3</v>
      </c>
      <c r="F5" s="3">
        <f t="shared" si="2"/>
        <v>1.1111111111111111E-3</v>
      </c>
      <c r="G5" s="3">
        <f t="shared" si="3"/>
        <v>1.2345679012345679E-6</v>
      </c>
      <c r="J5" s="2" t="s">
        <v>297</v>
      </c>
      <c r="K5" s="3">
        <f>AVERAGE(E6:E11)</f>
        <v>-1.1111111111111111E-3</v>
      </c>
      <c r="L5" s="3">
        <f>AVERAGE(F6:F11)</f>
        <v>1.1111111111111111E-3</v>
      </c>
      <c r="M5" s="3">
        <f>AVERAGE(G6:G11)</f>
        <v>1.2345679012345681E-6</v>
      </c>
      <c r="N5" s="3">
        <f>SQRT(M5)</f>
        <v>1.1111111111111111E-3</v>
      </c>
      <c r="O5" s="3" t="e">
        <f>N5/AVERAGE(C6:C11)*100</f>
        <v>#DIV/0!</v>
      </c>
    </row>
    <row r="6" spans="1:15" x14ac:dyDescent="0.3">
      <c r="A6" s="22"/>
      <c r="B6" s="3">
        <v>12</v>
      </c>
      <c r="C6" s="3">
        <v>0</v>
      </c>
      <c r="D6" s="3">
        <f t="shared" si="0"/>
        <v>1.1111111111111111E-3</v>
      </c>
      <c r="E6" s="3">
        <f t="shared" si="1"/>
        <v>-1.1111111111111111E-3</v>
      </c>
      <c r="F6" s="3">
        <f t="shared" si="2"/>
        <v>1.1111111111111111E-3</v>
      </c>
      <c r="G6" s="3">
        <f t="shared" si="3"/>
        <v>1.2345679012345679E-6</v>
      </c>
      <c r="J6" s="2">
        <v>33</v>
      </c>
      <c r="K6" s="3">
        <f>AVERAGE(E16:E21)</f>
        <v>5.5555555555555558E-3</v>
      </c>
      <c r="L6" s="3">
        <f>AVERAGE(F16:F21)</f>
        <v>5.5555555555555558E-3</v>
      </c>
      <c r="M6" s="3">
        <f>AVERAGE(G16:G21)</f>
        <v>6.1728395061728397E-5</v>
      </c>
      <c r="N6" s="3">
        <f>SQRT(M6)</f>
        <v>7.8567420131838619E-3</v>
      </c>
      <c r="O6" s="3">
        <f>N6/AVERAGE(C16:C21)*100</f>
        <v>52.378280087892406</v>
      </c>
    </row>
    <row r="7" spans="1:15" x14ac:dyDescent="0.3">
      <c r="A7" s="22"/>
      <c r="B7" s="3">
        <v>16</v>
      </c>
      <c r="C7" s="3">
        <v>0</v>
      </c>
      <c r="D7" s="3">
        <f t="shared" si="0"/>
        <v>1.1111111111111111E-3</v>
      </c>
      <c r="E7" s="3">
        <f t="shared" si="1"/>
        <v>-1.1111111111111111E-3</v>
      </c>
      <c r="F7" s="3">
        <f t="shared" si="2"/>
        <v>1.1111111111111111E-3</v>
      </c>
      <c r="G7" s="3">
        <f t="shared" si="3"/>
        <v>1.2345679012345679E-6</v>
      </c>
      <c r="J7" s="2">
        <v>46</v>
      </c>
      <c r="K7" s="3">
        <f>AVERAGE(E26:E31)</f>
        <v>6.2962962962962964E-3</v>
      </c>
      <c r="L7" s="3">
        <f>AVERAGE(F26:F31)</f>
        <v>7.037037037037037E-3</v>
      </c>
      <c r="M7" s="3">
        <f>AVERAGE(G26:G31)</f>
        <v>6.7078189300411525E-5</v>
      </c>
      <c r="N7" s="3">
        <f>SQRT(M7)</f>
        <v>8.1901275509244382E-3</v>
      </c>
      <c r="O7" s="3">
        <f>N7/AVERAGE(C26:C31)*100</f>
        <v>49.14076530554663</v>
      </c>
    </row>
    <row r="8" spans="1:15" x14ac:dyDescent="0.3">
      <c r="A8" s="22"/>
      <c r="B8" s="3">
        <v>20</v>
      </c>
      <c r="C8" s="3">
        <v>0</v>
      </c>
      <c r="D8" s="3">
        <f t="shared" si="0"/>
        <v>1.1111111111111111E-3</v>
      </c>
      <c r="E8" s="3">
        <f t="shared" si="1"/>
        <v>-1.1111111111111111E-3</v>
      </c>
      <c r="F8" s="3">
        <f t="shared" si="2"/>
        <v>1.1111111111111111E-3</v>
      </c>
      <c r="G8" s="3">
        <f t="shared" si="3"/>
        <v>1.2345679012345679E-6</v>
      </c>
      <c r="J8" s="2" t="s">
        <v>309</v>
      </c>
      <c r="K8" s="3">
        <f>AVERAGE(E36:E41)</f>
        <v>5.9259259259259256E-3</v>
      </c>
      <c r="L8" s="3">
        <f>AVERAGE(F36:F41)</f>
        <v>7.037037037037037E-3</v>
      </c>
      <c r="M8" s="3">
        <f>AVERAGE(G36:G41)</f>
        <v>5.2263374485596705E-5</v>
      </c>
      <c r="N8" s="3">
        <f>SQRT(M8)</f>
        <v>7.2293412207196798E-3</v>
      </c>
      <c r="O8" s="3">
        <f>N8/AVERAGE(C36:C41)*100</f>
        <v>39.432770294834604</v>
      </c>
    </row>
    <row r="9" spans="1:15" x14ac:dyDescent="0.3">
      <c r="A9" s="22"/>
      <c r="B9" s="3">
        <v>0</v>
      </c>
      <c r="C9" s="3">
        <v>0</v>
      </c>
      <c r="D9" s="3">
        <f t="shared" si="0"/>
        <v>1.1111111111111111E-3</v>
      </c>
      <c r="E9" s="3">
        <f t="shared" si="1"/>
        <v>-1.1111111111111111E-3</v>
      </c>
      <c r="F9" s="3">
        <f t="shared" si="2"/>
        <v>1.1111111111111111E-3</v>
      </c>
      <c r="G9" s="3">
        <f t="shared" si="3"/>
        <v>1.2345679012345679E-6</v>
      </c>
      <c r="J9" s="2" t="s">
        <v>310</v>
      </c>
      <c r="K9" s="3">
        <f>AVERAGE(E46:E51)</f>
        <v>2.2222222222222222E-3</v>
      </c>
      <c r="L9" s="3">
        <f>AVERAGE(F46:F51)</f>
        <v>8.1481481481481492E-3</v>
      </c>
      <c r="M9" s="3">
        <f>AVERAGE(G46:G51)</f>
        <v>8.7242798353909473E-5</v>
      </c>
      <c r="N9" s="3">
        <f>SQRT(M9)</f>
        <v>9.3403853429025862E-3</v>
      </c>
      <c r="O9" s="3">
        <f>N9/AVERAGE(C46:C51)*100</f>
        <v>93.403853429025858</v>
      </c>
    </row>
    <row r="10" spans="1:15" x14ac:dyDescent="0.3">
      <c r="A10" s="22"/>
      <c r="B10" s="3" t="s">
        <v>312</v>
      </c>
      <c r="C10" s="3">
        <v>0</v>
      </c>
      <c r="D10" s="3">
        <f t="shared" si="0"/>
        <v>1.1111111111111111E-3</v>
      </c>
      <c r="E10" s="3">
        <f t="shared" si="1"/>
        <v>-1.1111111111111111E-3</v>
      </c>
      <c r="F10" s="3">
        <f t="shared" si="2"/>
        <v>1.1111111111111111E-3</v>
      </c>
      <c r="G10" s="3">
        <f t="shared" si="3"/>
        <v>1.2345679012345679E-6</v>
      </c>
    </row>
    <row r="11" spans="1:15" x14ac:dyDescent="0.3">
      <c r="A11" s="23"/>
      <c r="B11" s="3" t="s">
        <v>313</v>
      </c>
      <c r="C11" s="3">
        <v>0</v>
      </c>
      <c r="D11" s="3">
        <f t="shared" si="0"/>
        <v>1.1111111111111111E-3</v>
      </c>
      <c r="E11" s="3">
        <f t="shared" si="1"/>
        <v>-1.1111111111111111E-3</v>
      </c>
      <c r="F11" s="3">
        <f t="shared" si="2"/>
        <v>1.1111111111111111E-3</v>
      </c>
      <c r="G11" s="3">
        <f t="shared" si="3"/>
        <v>1.2345679012345679E-6</v>
      </c>
    </row>
    <row r="12" spans="1:15" x14ac:dyDescent="0.3">
      <c r="A12" s="21">
        <v>33</v>
      </c>
      <c r="B12" s="9">
        <v>8</v>
      </c>
      <c r="C12" s="3">
        <v>0</v>
      </c>
      <c r="D12" s="3">
        <f>(SUM($C$12:$C$21)-C12)/(COUNT($C$12:$C$21)-1)</f>
        <v>1.1111111111111112E-2</v>
      </c>
      <c r="E12" s="3">
        <f>C12-D12</f>
        <v>-1.1111111111111112E-2</v>
      </c>
      <c r="F12" s="3">
        <f t="shared" si="2"/>
        <v>1.1111111111111112E-2</v>
      </c>
      <c r="G12" s="3">
        <f t="shared" si="3"/>
        <v>1.2345679012345679E-4</v>
      </c>
      <c r="K12" s="4"/>
      <c r="L12" s="4"/>
      <c r="M12" s="4"/>
      <c r="N12" s="4"/>
    </row>
    <row r="13" spans="1:15" x14ac:dyDescent="0.3">
      <c r="A13" s="22"/>
      <c r="B13" s="3">
        <v>9</v>
      </c>
      <c r="C13" s="3">
        <v>0</v>
      </c>
      <c r="D13" s="3">
        <f t="shared" ref="D13:D21" si="4">(SUM($C$12:$C$21)-C13)/(COUNT($C$12:$C$21)-1)</f>
        <v>1.1111111111111112E-2</v>
      </c>
      <c r="E13" s="3">
        <f t="shared" ref="E13:E51" si="5">C13-D13</f>
        <v>-1.1111111111111112E-2</v>
      </c>
      <c r="F13" s="3">
        <f t="shared" si="2"/>
        <v>1.1111111111111112E-2</v>
      </c>
      <c r="G13" s="3">
        <f t="shared" si="3"/>
        <v>1.2345679012345679E-4</v>
      </c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</v>
      </c>
      <c r="D14" s="3">
        <f t="shared" si="4"/>
        <v>1.1111111111111112E-2</v>
      </c>
      <c r="E14" s="3">
        <f t="shared" si="5"/>
        <v>-1.1111111111111112E-2</v>
      </c>
      <c r="F14" s="3">
        <f t="shared" si="2"/>
        <v>1.1111111111111112E-2</v>
      </c>
      <c r="G14" s="3">
        <f t="shared" si="3"/>
        <v>1.2345679012345679E-4</v>
      </c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0.01</v>
      </c>
      <c r="D15" s="3">
        <f t="shared" si="4"/>
        <v>1.0000000000000002E-2</v>
      </c>
      <c r="E15" s="3">
        <f t="shared" si="5"/>
        <v>0</v>
      </c>
      <c r="F15" s="3">
        <f t="shared" si="2"/>
        <v>0</v>
      </c>
      <c r="G15" s="3">
        <f t="shared" si="3"/>
        <v>0</v>
      </c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0.01</v>
      </c>
      <c r="D16" s="3">
        <f t="shared" si="4"/>
        <v>1.0000000000000002E-2</v>
      </c>
      <c r="E16" s="3">
        <f t="shared" si="5"/>
        <v>0</v>
      </c>
      <c r="F16" s="3">
        <f t="shared" si="2"/>
        <v>0</v>
      </c>
      <c r="G16" s="3">
        <f t="shared" si="3"/>
        <v>0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0.01</v>
      </c>
      <c r="D17" s="3">
        <f t="shared" si="4"/>
        <v>1.0000000000000002E-2</v>
      </c>
      <c r="E17" s="3">
        <f t="shared" si="5"/>
        <v>0</v>
      </c>
      <c r="F17" s="3">
        <f t="shared" si="2"/>
        <v>0</v>
      </c>
      <c r="G17" s="3">
        <f t="shared" si="3"/>
        <v>0</v>
      </c>
    </row>
    <row r="18" spans="1:7" x14ac:dyDescent="0.3">
      <c r="A18" s="22"/>
      <c r="B18" s="3">
        <v>20</v>
      </c>
      <c r="C18" s="3">
        <v>0.02</v>
      </c>
      <c r="D18" s="3">
        <f t="shared" si="4"/>
        <v>8.8888888888888889E-3</v>
      </c>
      <c r="E18" s="3">
        <f t="shared" si="5"/>
        <v>1.1111111111111112E-2</v>
      </c>
      <c r="F18" s="3">
        <f t="shared" si="2"/>
        <v>1.1111111111111112E-2</v>
      </c>
      <c r="G18" s="3">
        <f t="shared" si="3"/>
        <v>1.2345679012345679E-4</v>
      </c>
    </row>
    <row r="19" spans="1:7" x14ac:dyDescent="0.3">
      <c r="A19" s="22"/>
      <c r="B19" s="3">
        <v>0</v>
      </c>
      <c r="C19" s="3">
        <v>0.01</v>
      </c>
      <c r="D19" s="3">
        <f t="shared" si="4"/>
        <v>1.0000000000000002E-2</v>
      </c>
      <c r="E19" s="3">
        <f t="shared" si="5"/>
        <v>0</v>
      </c>
      <c r="F19" s="3">
        <f t="shared" si="2"/>
        <v>0</v>
      </c>
      <c r="G19" s="3">
        <f t="shared" si="3"/>
        <v>0</v>
      </c>
    </row>
    <row r="20" spans="1:7" x14ac:dyDescent="0.3">
      <c r="A20" s="22"/>
      <c r="B20" s="3" t="s">
        <v>312</v>
      </c>
      <c r="C20" s="3">
        <v>0.02</v>
      </c>
      <c r="D20" s="3">
        <f t="shared" si="4"/>
        <v>8.8888888888888889E-3</v>
      </c>
      <c r="E20" s="3">
        <f t="shared" si="5"/>
        <v>1.1111111111111112E-2</v>
      </c>
      <c r="F20" s="3">
        <f t="shared" si="2"/>
        <v>1.1111111111111112E-2</v>
      </c>
      <c r="G20" s="3">
        <f t="shared" si="3"/>
        <v>1.2345679012345679E-4</v>
      </c>
    </row>
    <row r="21" spans="1:7" x14ac:dyDescent="0.3">
      <c r="A21" s="23"/>
      <c r="B21" s="3" t="s">
        <v>313</v>
      </c>
      <c r="C21" s="3">
        <v>0.02</v>
      </c>
      <c r="D21" s="3">
        <f t="shared" si="4"/>
        <v>8.8888888888888889E-3</v>
      </c>
      <c r="E21" s="3">
        <f t="shared" si="5"/>
        <v>1.1111111111111112E-2</v>
      </c>
      <c r="F21" s="3">
        <f t="shared" si="2"/>
        <v>1.1111111111111112E-2</v>
      </c>
      <c r="G21" s="3">
        <f t="shared" si="3"/>
        <v>1.2345679012345679E-4</v>
      </c>
    </row>
    <row r="22" spans="1:7" x14ac:dyDescent="0.3">
      <c r="A22" s="21">
        <v>46</v>
      </c>
      <c r="B22" s="9">
        <v>8</v>
      </c>
      <c r="C22" s="3">
        <v>0.01</v>
      </c>
      <c r="D22" s="3">
        <f>(SUM($C$22:$C$31)-C22)/(COUNT($C$22:$C$31)-1)</f>
        <v>1.1111111111111112E-2</v>
      </c>
      <c r="E22" s="3">
        <f t="shared" si="5"/>
        <v>-1.1111111111111113E-3</v>
      </c>
      <c r="F22" s="3">
        <f t="shared" si="2"/>
        <v>1.1111111111111113E-3</v>
      </c>
      <c r="G22" s="3">
        <f t="shared" si="3"/>
        <v>1.2345679012345683E-6</v>
      </c>
    </row>
    <row r="23" spans="1:7" x14ac:dyDescent="0.3">
      <c r="A23" s="22"/>
      <c r="B23" s="3">
        <v>9</v>
      </c>
      <c r="C23" s="3">
        <v>0</v>
      </c>
      <c r="D23" s="3">
        <f t="shared" ref="D23:D31" si="6">(SUM($C$22:$C$31)-C23)/(COUNT($C$22:$C$31)-1)</f>
        <v>1.2222222222222223E-2</v>
      </c>
      <c r="E23" s="3">
        <f t="shared" si="5"/>
        <v>-1.2222222222222223E-2</v>
      </c>
      <c r="F23" s="3">
        <f t="shared" si="2"/>
        <v>1.2222222222222223E-2</v>
      </c>
      <c r="G23" s="3">
        <f t="shared" si="3"/>
        <v>1.4938271604938272E-4</v>
      </c>
    </row>
    <row r="24" spans="1:7" x14ac:dyDescent="0.3">
      <c r="A24" s="22"/>
      <c r="B24" s="3">
        <v>10</v>
      </c>
      <c r="C24" s="3">
        <v>0</v>
      </c>
      <c r="D24" s="3">
        <f t="shared" si="6"/>
        <v>1.2222222222222223E-2</v>
      </c>
      <c r="E24" s="3">
        <f t="shared" si="5"/>
        <v>-1.2222222222222223E-2</v>
      </c>
      <c r="F24" s="3">
        <f t="shared" si="2"/>
        <v>1.2222222222222223E-2</v>
      </c>
      <c r="G24" s="3">
        <f t="shared" si="3"/>
        <v>1.4938271604938272E-4</v>
      </c>
    </row>
    <row r="25" spans="1:7" x14ac:dyDescent="0.3">
      <c r="A25" s="22"/>
      <c r="B25" s="3">
        <v>11</v>
      </c>
      <c r="C25" s="3">
        <v>0</v>
      </c>
      <c r="D25" s="3">
        <f t="shared" si="6"/>
        <v>1.2222222222222223E-2</v>
      </c>
      <c r="E25" s="3">
        <f t="shared" si="5"/>
        <v>-1.2222222222222223E-2</v>
      </c>
      <c r="F25" s="3">
        <f t="shared" si="2"/>
        <v>1.2222222222222223E-2</v>
      </c>
      <c r="G25" s="3">
        <f t="shared" si="3"/>
        <v>1.4938271604938272E-4</v>
      </c>
    </row>
    <row r="26" spans="1:7" x14ac:dyDescent="0.3">
      <c r="A26" s="22"/>
      <c r="B26" s="3">
        <v>12</v>
      </c>
      <c r="C26" s="3">
        <v>0.02</v>
      </c>
      <c r="D26" s="3">
        <f t="shared" si="6"/>
        <v>0.01</v>
      </c>
      <c r="E26" s="3">
        <f t="shared" si="5"/>
        <v>0.01</v>
      </c>
      <c r="F26" s="3">
        <f t="shared" si="2"/>
        <v>0.01</v>
      </c>
      <c r="G26" s="3">
        <f t="shared" si="3"/>
        <v>1E-4</v>
      </c>
    </row>
    <row r="27" spans="1:7" x14ac:dyDescent="0.3">
      <c r="A27" s="22"/>
      <c r="B27" s="3">
        <v>16</v>
      </c>
      <c r="C27" s="3">
        <v>0.01</v>
      </c>
      <c r="D27" s="3">
        <f t="shared" si="6"/>
        <v>1.1111111111111112E-2</v>
      </c>
      <c r="E27" s="3">
        <f t="shared" si="5"/>
        <v>-1.1111111111111113E-3</v>
      </c>
      <c r="F27" s="3">
        <f t="shared" si="2"/>
        <v>1.1111111111111113E-3</v>
      </c>
      <c r="G27" s="3">
        <f t="shared" si="3"/>
        <v>1.2345679012345683E-6</v>
      </c>
    </row>
    <row r="28" spans="1:7" x14ac:dyDescent="0.3">
      <c r="A28" s="22"/>
      <c r="B28" s="3">
        <v>20</v>
      </c>
      <c r="C28" s="3">
        <v>0.02</v>
      </c>
      <c r="D28" s="3">
        <f t="shared" si="6"/>
        <v>0.01</v>
      </c>
      <c r="E28" s="3">
        <f t="shared" si="5"/>
        <v>0.01</v>
      </c>
      <c r="F28" s="3">
        <f t="shared" si="2"/>
        <v>0.01</v>
      </c>
      <c r="G28" s="3">
        <f t="shared" si="3"/>
        <v>1E-4</v>
      </c>
    </row>
    <row r="29" spans="1:7" x14ac:dyDescent="0.3">
      <c r="A29" s="22"/>
      <c r="B29" s="3">
        <v>0</v>
      </c>
      <c r="C29" s="3">
        <v>0.01</v>
      </c>
      <c r="D29" s="3">
        <f t="shared" si="6"/>
        <v>1.1111111111111112E-2</v>
      </c>
      <c r="E29" s="3">
        <f t="shared" si="5"/>
        <v>-1.1111111111111113E-3</v>
      </c>
      <c r="F29" s="3">
        <f t="shared" si="2"/>
        <v>1.1111111111111113E-3</v>
      </c>
      <c r="G29" s="3">
        <f t="shared" si="3"/>
        <v>1.2345679012345683E-6</v>
      </c>
    </row>
    <row r="30" spans="1:7" x14ac:dyDescent="0.3">
      <c r="A30" s="22"/>
      <c r="B30" s="3" t="s">
        <v>312</v>
      </c>
      <c r="C30" s="3">
        <v>0.02</v>
      </c>
      <c r="D30" s="3">
        <f t="shared" si="6"/>
        <v>0.01</v>
      </c>
      <c r="E30" s="3">
        <f t="shared" si="5"/>
        <v>0.01</v>
      </c>
      <c r="F30" s="3">
        <f t="shared" si="2"/>
        <v>0.01</v>
      </c>
      <c r="G30" s="3">
        <f t="shared" si="3"/>
        <v>1E-4</v>
      </c>
    </row>
    <row r="31" spans="1:7" x14ac:dyDescent="0.3">
      <c r="A31" s="23"/>
      <c r="B31" s="3" t="s">
        <v>313</v>
      </c>
      <c r="C31" s="3">
        <v>0.02</v>
      </c>
      <c r="D31" s="3">
        <f t="shared" si="6"/>
        <v>0.01</v>
      </c>
      <c r="E31" s="3">
        <f t="shared" si="5"/>
        <v>0.01</v>
      </c>
      <c r="F31" s="3">
        <f t="shared" si="2"/>
        <v>0.01</v>
      </c>
      <c r="G31" s="3">
        <f t="shared" si="3"/>
        <v>1E-4</v>
      </c>
    </row>
    <row r="32" spans="1:7" x14ac:dyDescent="0.3">
      <c r="A32" s="21" t="s">
        <v>309</v>
      </c>
      <c r="B32" s="3">
        <v>8</v>
      </c>
      <c r="C32" s="3">
        <v>0.01</v>
      </c>
      <c r="D32" s="3">
        <f>(SUM($C$32:$C$41)-C32)/(COUNT($C$32:$C$41)-1)</f>
        <v>1.3333333333333334E-2</v>
      </c>
      <c r="E32" s="3">
        <f t="shared" si="5"/>
        <v>-3.333333333333334E-3</v>
      </c>
      <c r="F32" s="3">
        <f t="shared" si="2"/>
        <v>3.333333333333334E-3</v>
      </c>
      <c r="G32" s="3">
        <f t="shared" si="3"/>
        <v>1.1111111111111115E-5</v>
      </c>
    </row>
    <row r="33" spans="1:7" x14ac:dyDescent="0.3">
      <c r="A33" s="22"/>
      <c r="B33" s="3">
        <v>9</v>
      </c>
      <c r="C33" s="3">
        <v>0</v>
      </c>
      <c r="D33" s="3">
        <f t="shared" ref="D33:D41" si="7">(SUM($C$32:$C$41)-C33)/(COUNT($C$32:$C$41)-1)</f>
        <v>1.4444444444444446E-2</v>
      </c>
      <c r="E33" s="3">
        <f t="shared" si="5"/>
        <v>-1.4444444444444446E-2</v>
      </c>
      <c r="F33" s="3">
        <f t="shared" si="2"/>
        <v>1.4444444444444446E-2</v>
      </c>
      <c r="G33" s="3">
        <f t="shared" si="3"/>
        <v>2.08641975308642E-4</v>
      </c>
    </row>
    <row r="34" spans="1:7" x14ac:dyDescent="0.3">
      <c r="A34" s="22"/>
      <c r="B34" s="3">
        <v>10</v>
      </c>
      <c r="C34" s="3">
        <v>0.01</v>
      </c>
      <c r="D34" s="3">
        <f t="shared" si="7"/>
        <v>1.3333333333333334E-2</v>
      </c>
      <c r="E34" s="3">
        <f t="shared" si="5"/>
        <v>-3.333333333333334E-3</v>
      </c>
      <c r="F34" s="3">
        <f t="shared" si="2"/>
        <v>3.333333333333334E-3</v>
      </c>
      <c r="G34" s="3">
        <f t="shared" si="3"/>
        <v>1.1111111111111115E-5</v>
      </c>
    </row>
    <row r="35" spans="1:7" x14ac:dyDescent="0.3">
      <c r="A35" s="22"/>
      <c r="B35" s="3">
        <v>11</v>
      </c>
      <c r="C35" s="3">
        <v>0</v>
      </c>
      <c r="D35" s="3">
        <f t="shared" si="7"/>
        <v>1.4444444444444446E-2</v>
      </c>
      <c r="E35" s="3">
        <f t="shared" si="5"/>
        <v>-1.4444444444444446E-2</v>
      </c>
      <c r="F35" s="3">
        <f t="shared" si="2"/>
        <v>1.4444444444444446E-2</v>
      </c>
      <c r="G35" s="3">
        <f t="shared" si="3"/>
        <v>2.08641975308642E-4</v>
      </c>
    </row>
    <row r="36" spans="1:7" x14ac:dyDescent="0.3">
      <c r="A36" s="22"/>
      <c r="B36" s="3">
        <v>12</v>
      </c>
      <c r="C36" s="3">
        <v>0.01</v>
      </c>
      <c r="D36" s="3">
        <f t="shared" si="7"/>
        <v>1.3333333333333334E-2</v>
      </c>
      <c r="E36" s="3">
        <f t="shared" si="5"/>
        <v>-3.333333333333334E-3</v>
      </c>
      <c r="F36" s="3">
        <f t="shared" si="2"/>
        <v>3.333333333333334E-3</v>
      </c>
      <c r="G36" s="3">
        <f t="shared" si="3"/>
        <v>1.1111111111111115E-5</v>
      </c>
    </row>
    <row r="37" spans="1:7" x14ac:dyDescent="0.3">
      <c r="A37" s="22"/>
      <c r="B37" s="3">
        <v>16</v>
      </c>
      <c r="C37" s="3">
        <v>0.02</v>
      </c>
      <c r="D37" s="3">
        <f t="shared" si="7"/>
        <v>1.2222222222222223E-2</v>
      </c>
      <c r="E37" s="3">
        <f t="shared" si="5"/>
        <v>7.7777777777777776E-3</v>
      </c>
      <c r="F37" s="3">
        <f t="shared" si="2"/>
        <v>7.7777777777777776E-3</v>
      </c>
      <c r="G37" s="3">
        <f t="shared" si="3"/>
        <v>6.0493827160493825E-5</v>
      </c>
    </row>
    <row r="38" spans="1:7" x14ac:dyDescent="0.3">
      <c r="A38" s="22"/>
      <c r="B38" s="3">
        <v>20</v>
      </c>
      <c r="C38" s="3">
        <v>0.02</v>
      </c>
      <c r="D38" s="3">
        <f t="shared" si="7"/>
        <v>1.2222222222222223E-2</v>
      </c>
      <c r="E38" s="3">
        <f t="shared" si="5"/>
        <v>7.7777777777777776E-3</v>
      </c>
      <c r="F38" s="3">
        <f t="shared" si="2"/>
        <v>7.7777777777777776E-3</v>
      </c>
      <c r="G38" s="3">
        <f t="shared" si="3"/>
        <v>6.0493827160493825E-5</v>
      </c>
    </row>
    <row r="39" spans="1:7" x14ac:dyDescent="0.3">
      <c r="A39" s="22"/>
      <c r="B39" s="3">
        <v>0</v>
      </c>
      <c r="C39" s="3">
        <v>0.02</v>
      </c>
      <c r="D39" s="3">
        <f t="shared" si="7"/>
        <v>1.2222222222222223E-2</v>
      </c>
      <c r="E39" s="3">
        <f t="shared" si="5"/>
        <v>7.7777777777777776E-3</v>
      </c>
      <c r="F39" s="3">
        <f t="shared" si="2"/>
        <v>7.7777777777777776E-3</v>
      </c>
      <c r="G39" s="3">
        <f t="shared" si="3"/>
        <v>6.0493827160493825E-5</v>
      </c>
    </row>
    <row r="40" spans="1:7" x14ac:dyDescent="0.3">
      <c r="A40" s="22"/>
      <c r="B40" s="3" t="s">
        <v>312</v>
      </c>
      <c r="C40" s="3">
        <v>0.02</v>
      </c>
      <c r="D40" s="3">
        <f t="shared" si="7"/>
        <v>1.2222222222222223E-2</v>
      </c>
      <c r="E40" s="3">
        <f t="shared" si="5"/>
        <v>7.7777777777777776E-3</v>
      </c>
      <c r="F40" s="3">
        <f t="shared" si="2"/>
        <v>7.7777777777777776E-3</v>
      </c>
      <c r="G40" s="3">
        <f t="shared" si="3"/>
        <v>6.0493827160493825E-5</v>
      </c>
    </row>
    <row r="41" spans="1:7" x14ac:dyDescent="0.3">
      <c r="A41" s="23"/>
      <c r="B41" s="3" t="s">
        <v>313</v>
      </c>
      <c r="C41" s="3">
        <v>0.02</v>
      </c>
      <c r="D41" s="3">
        <f t="shared" si="7"/>
        <v>1.2222222222222223E-2</v>
      </c>
      <c r="E41" s="3">
        <f t="shared" si="5"/>
        <v>7.7777777777777776E-3</v>
      </c>
      <c r="F41" s="3">
        <f t="shared" si="2"/>
        <v>7.7777777777777776E-3</v>
      </c>
      <c r="G41" s="3">
        <f t="shared" si="3"/>
        <v>6.0493827160493825E-5</v>
      </c>
    </row>
    <row r="42" spans="1:7" x14ac:dyDescent="0.3">
      <c r="A42" s="21" t="s">
        <v>310</v>
      </c>
      <c r="B42" s="3">
        <v>8</v>
      </c>
      <c r="C42" s="3">
        <v>0</v>
      </c>
      <c r="D42" s="3">
        <f>(SUM($C$42:$C$51)-C42)/(COUNT($C$42:$C$51)-1)</f>
        <v>8.8888888888888889E-3</v>
      </c>
      <c r="E42" s="3">
        <f t="shared" si="5"/>
        <v>-8.8888888888888889E-3</v>
      </c>
      <c r="F42" s="3">
        <f t="shared" si="2"/>
        <v>8.8888888888888889E-3</v>
      </c>
      <c r="G42" s="3">
        <f t="shared" si="3"/>
        <v>7.9012345679012346E-5</v>
      </c>
    </row>
    <row r="43" spans="1:7" x14ac:dyDescent="0.3">
      <c r="A43" s="22"/>
      <c r="B43" s="3">
        <v>9</v>
      </c>
      <c r="C43" s="3">
        <v>0</v>
      </c>
      <c r="D43" s="3">
        <f t="shared" ref="D43:D51" si="8">(SUM($C$42:$C$51)-C43)/(COUNT($C$42:$C$51)-1)</f>
        <v>8.8888888888888889E-3</v>
      </c>
      <c r="E43" s="3">
        <f t="shared" si="5"/>
        <v>-8.8888888888888889E-3</v>
      </c>
      <c r="F43" s="3">
        <f t="shared" si="2"/>
        <v>8.8888888888888889E-3</v>
      </c>
      <c r="G43" s="3">
        <f t="shared" si="3"/>
        <v>7.9012345679012346E-5</v>
      </c>
    </row>
    <row r="44" spans="1:7" x14ac:dyDescent="0.3">
      <c r="A44" s="22"/>
      <c r="B44" s="3">
        <v>10</v>
      </c>
      <c r="C44" s="3">
        <v>0.02</v>
      </c>
      <c r="D44" s="3">
        <f t="shared" si="8"/>
        <v>6.6666666666666662E-3</v>
      </c>
      <c r="E44" s="3">
        <f t="shared" si="5"/>
        <v>1.3333333333333334E-2</v>
      </c>
      <c r="F44" s="3">
        <f t="shared" si="2"/>
        <v>1.3333333333333334E-2</v>
      </c>
      <c r="G44" s="3">
        <f t="shared" si="3"/>
        <v>1.7777777777777781E-4</v>
      </c>
    </row>
    <row r="45" spans="1:7" x14ac:dyDescent="0.3">
      <c r="A45" s="22"/>
      <c r="B45" s="3">
        <v>11</v>
      </c>
      <c r="C45" s="3">
        <v>0</v>
      </c>
      <c r="D45" s="3">
        <f t="shared" si="8"/>
        <v>8.8888888888888889E-3</v>
      </c>
      <c r="E45" s="3">
        <f t="shared" si="5"/>
        <v>-8.8888888888888889E-3</v>
      </c>
      <c r="F45" s="3">
        <f t="shared" si="2"/>
        <v>8.8888888888888889E-3</v>
      </c>
      <c r="G45" s="3">
        <f t="shared" si="3"/>
        <v>7.9012345679012346E-5</v>
      </c>
    </row>
    <row r="46" spans="1:7" x14ac:dyDescent="0.3">
      <c r="A46" s="22"/>
      <c r="B46" s="3">
        <v>12</v>
      </c>
      <c r="C46" s="3">
        <v>0.02</v>
      </c>
      <c r="D46" s="3">
        <f t="shared" si="8"/>
        <v>6.6666666666666662E-3</v>
      </c>
      <c r="E46" s="3">
        <f t="shared" si="5"/>
        <v>1.3333333333333334E-2</v>
      </c>
      <c r="F46" s="3">
        <f t="shared" si="2"/>
        <v>1.3333333333333334E-2</v>
      </c>
      <c r="G46" s="3">
        <f t="shared" si="3"/>
        <v>1.7777777777777781E-4</v>
      </c>
    </row>
    <row r="47" spans="1:7" x14ac:dyDescent="0.3">
      <c r="A47" s="22"/>
      <c r="B47" s="3">
        <v>16</v>
      </c>
      <c r="C47" s="3">
        <v>0</v>
      </c>
      <c r="D47" s="3">
        <f t="shared" si="8"/>
        <v>8.8888888888888889E-3</v>
      </c>
      <c r="E47" s="3">
        <f t="shared" si="5"/>
        <v>-8.8888888888888889E-3</v>
      </c>
      <c r="F47" s="3">
        <f t="shared" si="2"/>
        <v>8.8888888888888889E-3</v>
      </c>
      <c r="G47" s="3">
        <f t="shared" si="3"/>
        <v>7.9012345679012346E-5</v>
      </c>
    </row>
    <row r="48" spans="1:7" x14ac:dyDescent="0.3">
      <c r="A48" s="22"/>
      <c r="B48" s="3">
        <v>20</v>
      </c>
      <c r="C48" s="3">
        <v>0</v>
      </c>
      <c r="D48" s="3">
        <f t="shared" si="8"/>
        <v>8.8888888888888889E-3</v>
      </c>
      <c r="E48" s="3">
        <f t="shared" si="5"/>
        <v>-8.8888888888888889E-3</v>
      </c>
      <c r="F48" s="3">
        <f t="shared" si="2"/>
        <v>8.8888888888888889E-3</v>
      </c>
      <c r="G48" s="3">
        <f t="shared" si="3"/>
        <v>7.9012345679012346E-5</v>
      </c>
    </row>
    <row r="49" spans="1:7" x14ac:dyDescent="0.3">
      <c r="A49" s="22"/>
      <c r="B49" s="3">
        <v>0</v>
      </c>
      <c r="C49" s="3">
        <v>0.01</v>
      </c>
      <c r="D49" s="3">
        <f t="shared" si="8"/>
        <v>7.7777777777777784E-3</v>
      </c>
      <c r="E49" s="3">
        <f t="shared" si="5"/>
        <v>2.2222222222222218E-3</v>
      </c>
      <c r="F49" s="3">
        <f t="shared" si="2"/>
        <v>2.2222222222222218E-3</v>
      </c>
      <c r="G49" s="3">
        <f t="shared" si="3"/>
        <v>4.93827160493827E-6</v>
      </c>
    </row>
    <row r="50" spans="1:7" x14ac:dyDescent="0.3">
      <c r="A50" s="22"/>
      <c r="B50" s="3" t="s">
        <v>312</v>
      </c>
      <c r="C50" s="3">
        <v>0.01</v>
      </c>
      <c r="D50" s="3">
        <f t="shared" si="8"/>
        <v>7.7777777777777784E-3</v>
      </c>
      <c r="E50" s="3">
        <f t="shared" si="5"/>
        <v>2.2222222222222218E-3</v>
      </c>
      <c r="F50" s="3">
        <f t="shared" si="2"/>
        <v>2.2222222222222218E-3</v>
      </c>
      <c r="G50" s="3">
        <f t="shared" si="3"/>
        <v>4.93827160493827E-6</v>
      </c>
    </row>
    <row r="51" spans="1:7" x14ac:dyDescent="0.3">
      <c r="A51" s="23"/>
      <c r="B51" s="3" t="s">
        <v>313</v>
      </c>
      <c r="C51" s="3">
        <v>0.02</v>
      </c>
      <c r="D51" s="3">
        <f t="shared" si="8"/>
        <v>6.6666666666666662E-3</v>
      </c>
      <c r="E51" s="3">
        <f t="shared" si="5"/>
        <v>1.3333333333333334E-2</v>
      </c>
      <c r="F51" s="3">
        <f t="shared" si="2"/>
        <v>1.3333333333333334E-2</v>
      </c>
      <c r="G51" s="3">
        <f t="shared" si="3"/>
        <v>1.7777777777777781E-4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79C3-93A1-4362-BA83-BE4B21F76832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300</v>
      </c>
      <c r="D1" s="10" t="s">
        <v>334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5.32</v>
      </c>
      <c r="D2" s="3">
        <f>(SUM($C$2:$C$11)-C2)/(COUNT($C$2:$C$11)-1)</f>
        <v>3.7188888888888894</v>
      </c>
      <c r="E2" s="3">
        <f>C2-D2</f>
        <v>1.6011111111111109</v>
      </c>
      <c r="F2" s="3">
        <f>ABS(E2)</f>
        <v>1.6011111111111109</v>
      </c>
      <c r="G2" s="3">
        <f>E2^2</f>
        <v>2.5635567901234562</v>
      </c>
    </row>
    <row r="3" spans="1:15" x14ac:dyDescent="0.3">
      <c r="A3" s="22"/>
      <c r="B3" s="3">
        <v>9</v>
      </c>
      <c r="C3" s="3">
        <v>5.2</v>
      </c>
      <c r="D3" s="3">
        <f t="shared" ref="D3:D11" si="0">(SUM($C$2:$C$11)-C3)/(COUNT($C$2:$C$11)-1)</f>
        <v>3.7322222222222226</v>
      </c>
      <c r="E3" s="3">
        <f t="shared" ref="E3:E11" si="1">C3-D3</f>
        <v>1.4677777777777776</v>
      </c>
      <c r="F3" s="3">
        <f t="shared" ref="F3:F51" si="2">ABS(E3)</f>
        <v>1.4677777777777776</v>
      </c>
      <c r="G3" s="3">
        <f t="shared" ref="G3:G51" si="3">E3^2</f>
        <v>2.1543716049382713</v>
      </c>
    </row>
    <row r="4" spans="1:15" x14ac:dyDescent="0.3">
      <c r="A4" s="22"/>
      <c r="B4" s="3">
        <v>10</v>
      </c>
      <c r="C4" s="3">
        <v>5.46</v>
      </c>
      <c r="D4" s="3">
        <f t="shared" si="0"/>
        <v>3.703333333333334</v>
      </c>
      <c r="E4" s="3">
        <f t="shared" si="1"/>
        <v>1.7566666666666659</v>
      </c>
      <c r="F4" s="3">
        <f t="shared" si="2"/>
        <v>1.7566666666666659</v>
      </c>
      <c r="G4" s="3">
        <f t="shared" si="3"/>
        <v>3.0858777777777751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3.78</v>
      </c>
      <c r="D5" s="3">
        <f t="shared" si="0"/>
        <v>3.8900000000000006</v>
      </c>
      <c r="E5" s="3">
        <f t="shared" si="1"/>
        <v>-0.11000000000000076</v>
      </c>
      <c r="F5" s="3">
        <f t="shared" si="2"/>
        <v>0.11000000000000076</v>
      </c>
      <c r="G5" s="3">
        <f t="shared" si="3"/>
        <v>1.2100000000000168E-2</v>
      </c>
      <c r="J5" s="2" t="s">
        <v>297</v>
      </c>
      <c r="K5" s="3">
        <f>AVERAGE(E6:E11)</f>
        <v>-0.78592592592592647</v>
      </c>
      <c r="L5" s="3">
        <f>AVERAGE(F6:F11)</f>
        <v>2.0874074074074072</v>
      </c>
      <c r="M5" s="3">
        <f>AVERAGE(G6:G11)</f>
        <v>6.837285185185185</v>
      </c>
      <c r="N5" s="3">
        <f>SQRT(M5)</f>
        <v>2.6148202969200742</v>
      </c>
      <c r="O5" s="3">
        <f>N5/AVERAGE(C6:C11)*100</f>
        <v>82.443099219760612</v>
      </c>
    </row>
    <row r="6" spans="1:15" x14ac:dyDescent="0.3">
      <c r="A6" s="22"/>
      <c r="B6" s="3">
        <v>12</v>
      </c>
      <c r="C6" s="3">
        <v>4.76</v>
      </c>
      <c r="D6" s="3">
        <f t="shared" si="0"/>
        <v>3.781111111111112</v>
      </c>
      <c r="E6" s="3">
        <f t="shared" si="1"/>
        <v>0.97888888888888781</v>
      </c>
      <c r="F6" s="3">
        <f t="shared" si="2"/>
        <v>0.97888888888888781</v>
      </c>
      <c r="G6" s="3">
        <f t="shared" si="3"/>
        <v>0.95822345679012133</v>
      </c>
      <c r="J6" s="2">
        <v>33</v>
      </c>
      <c r="K6" s="3">
        <f>AVERAGE(E16:E21)</f>
        <v>-0.12407407407407407</v>
      </c>
      <c r="L6" s="3">
        <f>AVERAGE(F16:F21)</f>
        <v>0.39074074074074078</v>
      </c>
      <c r="M6" s="3">
        <f>AVERAGE(G16:G21)</f>
        <v>0.22809670781893007</v>
      </c>
      <c r="N6" s="3">
        <f t="shared" ref="N6:N9" si="4">SQRT(M6)</f>
        <v>0.47759471083642674</v>
      </c>
      <c r="O6" s="3">
        <f>N6/AVERAGE(C16:C21)*100</f>
        <v>81.873379000530292</v>
      </c>
    </row>
    <row r="7" spans="1:15" x14ac:dyDescent="0.3">
      <c r="A7" s="22"/>
      <c r="B7" s="3">
        <v>16</v>
      </c>
      <c r="C7" s="3">
        <v>4.78</v>
      </c>
      <c r="D7" s="3">
        <f t="shared" si="0"/>
        <v>3.7788888888888894</v>
      </c>
      <c r="E7" s="3">
        <f t="shared" si="1"/>
        <v>1.0011111111111108</v>
      </c>
      <c r="F7" s="3">
        <f t="shared" si="2"/>
        <v>1.0011111111111108</v>
      </c>
      <c r="G7" s="3">
        <f t="shared" si="3"/>
        <v>1.0022234567901229</v>
      </c>
      <c r="J7" s="2">
        <v>46</v>
      </c>
      <c r="K7" s="3">
        <f>AVERAGE(E26:E31)</f>
        <v>-0.14518518518518519</v>
      </c>
      <c r="L7" s="3">
        <f>AVERAGE(F26:F31)</f>
        <v>0.35925925925925922</v>
      </c>
      <c r="M7" s="3">
        <f>AVERAGE(G26:G31)</f>
        <v>0.21057119341563788</v>
      </c>
      <c r="N7" s="3">
        <f t="shared" si="4"/>
        <v>0.45888036939450555</v>
      </c>
      <c r="O7" s="3">
        <f>N7/AVERAGE(C26:C31)*100</f>
        <v>86.040069261469782</v>
      </c>
    </row>
    <row r="8" spans="1:15" x14ac:dyDescent="0.3">
      <c r="A8" s="22"/>
      <c r="B8" s="3">
        <v>20</v>
      </c>
      <c r="C8" s="3">
        <v>4.9000000000000004</v>
      </c>
      <c r="D8" s="3">
        <f t="shared" si="0"/>
        <v>3.7655555555555562</v>
      </c>
      <c r="E8" s="3">
        <f t="shared" si="1"/>
        <v>1.1344444444444441</v>
      </c>
      <c r="F8" s="3">
        <f t="shared" si="2"/>
        <v>1.1344444444444441</v>
      </c>
      <c r="G8" s="3">
        <f t="shared" si="3"/>
        <v>1.2869641975308634</v>
      </c>
      <c r="J8" s="2" t="s">
        <v>309</v>
      </c>
      <c r="K8" s="3">
        <f>AVERAGE(E36:E41)</f>
        <v>-0.16666666666666666</v>
      </c>
      <c r="L8" s="3">
        <f>AVERAGE(F36:F41)</f>
        <v>0.37037037037037029</v>
      </c>
      <c r="M8" s="3">
        <f>AVERAGE(G36:G41)</f>
        <v>0.19925925925925922</v>
      </c>
      <c r="N8" s="3">
        <f t="shared" si="4"/>
        <v>0.4463846539244592</v>
      </c>
      <c r="O8" s="3">
        <f>N8/AVERAGE(C36:C41)*100</f>
        <v>97.040142157491132</v>
      </c>
    </row>
    <row r="9" spans="1:15" x14ac:dyDescent="0.3">
      <c r="A9" s="22"/>
      <c r="B9" s="3">
        <v>0</v>
      </c>
      <c r="C9" s="3">
        <v>4.59</v>
      </c>
      <c r="D9" s="3">
        <f t="shared" si="0"/>
        <v>3.8000000000000003</v>
      </c>
      <c r="E9" s="3">
        <f t="shared" si="1"/>
        <v>0.78999999999999959</v>
      </c>
      <c r="F9" s="3">
        <f t="shared" si="2"/>
        <v>0.78999999999999959</v>
      </c>
      <c r="G9" s="3">
        <f t="shared" si="3"/>
        <v>0.62409999999999932</v>
      </c>
      <c r="J9" s="2" t="s">
        <v>310</v>
      </c>
      <c r="K9" s="3">
        <f>AVERAGE(E46:E51)</f>
        <v>4.1111111111111022E-2</v>
      </c>
      <c r="L9" s="3">
        <f>AVERAGE(F46:F51)</f>
        <v>1.107777777777778</v>
      </c>
      <c r="M9" s="3">
        <f>AVERAGE(G46:G51)</f>
        <v>2.4578115226337451</v>
      </c>
      <c r="N9" s="3">
        <f t="shared" si="4"/>
        <v>1.5677408977996794</v>
      </c>
      <c r="O9" s="3">
        <f>N9/AVERAGE(C46:C51)*100</f>
        <v>154.45723131031326</v>
      </c>
    </row>
    <row r="10" spans="1:15" x14ac:dyDescent="0.3">
      <c r="A10" s="22"/>
      <c r="B10" s="3" t="s">
        <v>312</v>
      </c>
      <c r="C10" s="3">
        <v>0</v>
      </c>
      <c r="D10" s="3">
        <f t="shared" si="0"/>
        <v>4.3100000000000005</v>
      </c>
      <c r="E10" s="3">
        <f t="shared" si="1"/>
        <v>-4.3100000000000005</v>
      </c>
      <c r="F10" s="3">
        <f t="shared" si="2"/>
        <v>4.3100000000000005</v>
      </c>
      <c r="G10" s="3">
        <f t="shared" si="3"/>
        <v>18.576100000000004</v>
      </c>
    </row>
    <row r="11" spans="1:15" x14ac:dyDescent="0.3">
      <c r="A11" s="23"/>
      <c r="B11" s="3" t="s">
        <v>313</v>
      </c>
      <c r="C11" s="3">
        <v>0</v>
      </c>
      <c r="D11" s="3">
        <f t="shared" si="0"/>
        <v>4.3100000000000005</v>
      </c>
      <c r="E11" s="3">
        <f t="shared" si="1"/>
        <v>-4.3100000000000005</v>
      </c>
      <c r="F11" s="3">
        <f t="shared" si="2"/>
        <v>4.3100000000000005</v>
      </c>
      <c r="G11" s="3">
        <f t="shared" si="3"/>
        <v>18.576100000000004</v>
      </c>
    </row>
    <row r="12" spans="1:15" x14ac:dyDescent="0.3">
      <c r="A12" s="21">
        <v>33</v>
      </c>
      <c r="B12" s="9">
        <v>8</v>
      </c>
      <c r="C12" s="3">
        <v>0.83</v>
      </c>
      <c r="D12" s="3">
        <f>(SUM($C$12:$C$21)-C12)/(COUNT($C$12:$C$21)-1)</f>
        <v>0.68</v>
      </c>
      <c r="E12" s="3">
        <f>C12-D12</f>
        <v>0.14999999999999991</v>
      </c>
      <c r="F12" s="3">
        <f t="shared" si="2"/>
        <v>0.14999999999999991</v>
      </c>
      <c r="G12" s="3">
        <f t="shared" si="3"/>
        <v>2.2499999999999975E-2</v>
      </c>
      <c r="K12" s="4"/>
      <c r="L12" s="4"/>
      <c r="M12" s="4"/>
      <c r="N12" s="4"/>
    </row>
    <row r="13" spans="1:15" x14ac:dyDescent="0.3">
      <c r="A13" s="22"/>
      <c r="B13" s="3">
        <v>9</v>
      </c>
      <c r="C13" s="3">
        <v>1.07</v>
      </c>
      <c r="D13" s="3">
        <f t="shared" ref="D13:D21" si="5">(SUM($C$12:$C$21)-C13)/(COUNT($C$12:$C$21)-1)</f>
        <v>0.65333333333333332</v>
      </c>
      <c r="E13" s="3">
        <f t="shared" ref="E13:E51" si="6">C13-D13</f>
        <v>0.41666666666666674</v>
      </c>
      <c r="F13" s="3">
        <f t="shared" si="2"/>
        <v>0.41666666666666674</v>
      </c>
      <c r="G13" s="3">
        <f t="shared" si="3"/>
        <v>0.17361111111111116</v>
      </c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0.72</v>
      </c>
      <c r="D14" s="3">
        <f t="shared" si="5"/>
        <v>0.69222222222222229</v>
      </c>
      <c r="E14" s="3">
        <f t="shared" si="6"/>
        <v>2.7777777777777679E-2</v>
      </c>
      <c r="F14" s="3">
        <f t="shared" si="2"/>
        <v>2.7777777777777679E-2</v>
      </c>
      <c r="G14" s="3">
        <f t="shared" si="3"/>
        <v>7.7160493827159947E-4</v>
      </c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0.83</v>
      </c>
      <c r="D15" s="3">
        <f t="shared" si="5"/>
        <v>0.68</v>
      </c>
      <c r="E15" s="3">
        <f t="shared" si="6"/>
        <v>0.14999999999999991</v>
      </c>
      <c r="F15" s="3">
        <f t="shared" si="2"/>
        <v>0.14999999999999991</v>
      </c>
      <c r="G15" s="3">
        <f t="shared" si="3"/>
        <v>2.2499999999999975E-2</v>
      </c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0.93</v>
      </c>
      <c r="D16" s="3">
        <f t="shared" si="5"/>
        <v>0.66888888888888898</v>
      </c>
      <c r="E16" s="3">
        <f t="shared" si="6"/>
        <v>0.26111111111111107</v>
      </c>
      <c r="F16" s="3">
        <f t="shared" si="2"/>
        <v>0.26111111111111107</v>
      </c>
      <c r="G16" s="3">
        <f t="shared" si="3"/>
        <v>6.8179012345678996E-2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0.78</v>
      </c>
      <c r="D17" s="3">
        <f t="shared" si="5"/>
        <v>0.68555555555555558</v>
      </c>
      <c r="E17" s="3">
        <f t="shared" si="6"/>
        <v>9.4444444444444442E-2</v>
      </c>
      <c r="F17" s="3">
        <f t="shared" si="2"/>
        <v>9.4444444444444442E-2</v>
      </c>
      <c r="G17" s="3">
        <f t="shared" si="3"/>
        <v>8.9197530864197523E-3</v>
      </c>
    </row>
    <row r="18" spans="1:7" x14ac:dyDescent="0.3">
      <c r="A18" s="22"/>
      <c r="B18" s="3">
        <v>20</v>
      </c>
      <c r="C18" s="3">
        <v>0.89</v>
      </c>
      <c r="D18" s="3">
        <f t="shared" si="5"/>
        <v>0.67333333333333334</v>
      </c>
      <c r="E18" s="3">
        <f t="shared" si="6"/>
        <v>0.21666666666666667</v>
      </c>
      <c r="F18" s="3">
        <f t="shared" si="2"/>
        <v>0.21666666666666667</v>
      </c>
      <c r="G18" s="3">
        <f t="shared" si="3"/>
        <v>4.6944444444444448E-2</v>
      </c>
    </row>
    <row r="19" spans="1:7" x14ac:dyDescent="0.3">
      <c r="A19" s="22"/>
      <c r="B19" s="3">
        <v>0</v>
      </c>
      <c r="C19" s="3">
        <v>0.9</v>
      </c>
      <c r="D19" s="3">
        <f t="shared" si="5"/>
        <v>0.67222222222222217</v>
      </c>
      <c r="E19" s="3">
        <f t="shared" si="6"/>
        <v>0.22777777777777786</v>
      </c>
      <c r="F19" s="3">
        <f t="shared" si="2"/>
        <v>0.22777777777777786</v>
      </c>
      <c r="G19" s="3">
        <f t="shared" si="3"/>
        <v>5.188271604938275E-2</v>
      </c>
    </row>
    <row r="20" spans="1:7" x14ac:dyDescent="0.3">
      <c r="A20" s="22"/>
      <c r="B20" s="3" t="s">
        <v>312</v>
      </c>
      <c r="C20" s="3">
        <v>0</v>
      </c>
      <c r="D20" s="3">
        <f t="shared" si="5"/>
        <v>0.77222222222222225</v>
      </c>
      <c r="E20" s="3">
        <f t="shared" si="6"/>
        <v>-0.77222222222222225</v>
      </c>
      <c r="F20" s="3">
        <f t="shared" si="2"/>
        <v>0.77222222222222225</v>
      </c>
      <c r="G20" s="3">
        <f t="shared" si="3"/>
        <v>0.59632716049382717</v>
      </c>
    </row>
    <row r="21" spans="1:7" x14ac:dyDescent="0.3">
      <c r="A21" s="23"/>
      <c r="B21" s="3" t="s">
        <v>313</v>
      </c>
      <c r="C21" s="3">
        <v>0</v>
      </c>
      <c r="D21" s="3">
        <f t="shared" si="5"/>
        <v>0.77222222222222225</v>
      </c>
      <c r="E21" s="3">
        <f t="shared" si="6"/>
        <v>-0.77222222222222225</v>
      </c>
      <c r="F21" s="3">
        <f t="shared" si="2"/>
        <v>0.77222222222222225</v>
      </c>
      <c r="G21" s="3">
        <f t="shared" si="3"/>
        <v>0.59632716049382717</v>
      </c>
    </row>
    <row r="22" spans="1:7" x14ac:dyDescent="0.3">
      <c r="A22" s="21">
        <v>46</v>
      </c>
      <c r="B22" s="9">
        <v>8</v>
      </c>
      <c r="C22" s="3">
        <v>0.91</v>
      </c>
      <c r="D22" s="3">
        <f>(SUM($C$22:$C$31)-C22)/(COUNT($C$22:$C$31)-1)</f>
        <v>0.6366666666666666</v>
      </c>
      <c r="E22" s="3">
        <f t="shared" si="6"/>
        <v>0.27333333333333343</v>
      </c>
      <c r="F22" s="3">
        <f t="shared" si="2"/>
        <v>0.27333333333333343</v>
      </c>
      <c r="G22" s="3">
        <f t="shared" si="3"/>
        <v>7.4711111111111159E-2</v>
      </c>
    </row>
    <row r="23" spans="1:7" x14ac:dyDescent="0.3">
      <c r="A23" s="22"/>
      <c r="B23" s="3">
        <v>9</v>
      </c>
      <c r="C23" s="3">
        <v>0.8</v>
      </c>
      <c r="D23" s="3">
        <f t="shared" ref="D23:D31" si="7">(SUM($C$22:$C$31)-C23)/(COUNT($C$22:$C$31)-1)</f>
        <v>0.64888888888888885</v>
      </c>
      <c r="E23" s="3">
        <f t="shared" si="6"/>
        <v>0.1511111111111112</v>
      </c>
      <c r="F23" s="3">
        <f t="shared" si="2"/>
        <v>0.1511111111111112</v>
      </c>
      <c r="G23" s="3">
        <f t="shared" si="3"/>
        <v>2.2834567901234594E-2</v>
      </c>
    </row>
    <row r="24" spans="1:7" x14ac:dyDescent="0.3">
      <c r="A24" s="22"/>
      <c r="B24" s="3">
        <v>10</v>
      </c>
      <c r="C24" s="3">
        <v>1</v>
      </c>
      <c r="D24" s="3">
        <f t="shared" si="7"/>
        <v>0.62666666666666659</v>
      </c>
      <c r="E24" s="3">
        <f t="shared" si="6"/>
        <v>0.37333333333333341</v>
      </c>
      <c r="F24" s="3">
        <f t="shared" si="2"/>
        <v>0.37333333333333341</v>
      </c>
      <c r="G24" s="3">
        <f t="shared" si="3"/>
        <v>0.13937777777777782</v>
      </c>
    </row>
    <row r="25" spans="1:7" x14ac:dyDescent="0.3">
      <c r="A25" s="22"/>
      <c r="B25" s="3">
        <v>11</v>
      </c>
      <c r="C25" s="3">
        <v>0.73</v>
      </c>
      <c r="D25" s="3">
        <f t="shared" si="7"/>
        <v>0.65666666666666673</v>
      </c>
      <c r="E25" s="3">
        <f t="shared" si="6"/>
        <v>7.333333333333325E-2</v>
      </c>
      <c r="F25" s="3">
        <f t="shared" si="2"/>
        <v>7.333333333333325E-2</v>
      </c>
      <c r="G25" s="3">
        <f t="shared" si="3"/>
        <v>5.3777777777777652E-3</v>
      </c>
    </row>
    <row r="26" spans="1:7" x14ac:dyDescent="0.3">
      <c r="A26" s="22"/>
      <c r="B26" s="3">
        <v>12</v>
      </c>
      <c r="C26" s="3">
        <v>0.97</v>
      </c>
      <c r="D26" s="3">
        <f t="shared" si="7"/>
        <v>0.63</v>
      </c>
      <c r="E26" s="3">
        <f t="shared" si="6"/>
        <v>0.33999999999999997</v>
      </c>
      <c r="F26" s="3">
        <f t="shared" si="2"/>
        <v>0.33999999999999997</v>
      </c>
      <c r="G26" s="3">
        <f t="shared" si="3"/>
        <v>0.11559999999999998</v>
      </c>
    </row>
    <row r="27" spans="1:7" x14ac:dyDescent="0.3">
      <c r="A27" s="22"/>
      <c r="B27" s="3">
        <v>16</v>
      </c>
      <c r="C27" s="3">
        <v>0.63</v>
      </c>
      <c r="D27" s="3">
        <f t="shared" si="7"/>
        <v>0.6677777777777778</v>
      </c>
      <c r="E27" s="3">
        <f t="shared" si="6"/>
        <v>-3.7777777777777799E-2</v>
      </c>
      <c r="F27" s="3">
        <f t="shared" si="2"/>
        <v>3.7777777777777799E-2</v>
      </c>
      <c r="G27" s="3">
        <f t="shared" si="3"/>
        <v>1.4271604938271621E-3</v>
      </c>
    </row>
    <row r="28" spans="1:7" x14ac:dyDescent="0.3">
      <c r="A28" s="22"/>
      <c r="B28" s="3">
        <v>20</v>
      </c>
      <c r="C28" s="3">
        <v>0.73</v>
      </c>
      <c r="D28" s="3">
        <f t="shared" si="7"/>
        <v>0.65666666666666673</v>
      </c>
      <c r="E28" s="3">
        <f t="shared" si="6"/>
        <v>7.333333333333325E-2</v>
      </c>
      <c r="F28" s="3">
        <f t="shared" si="2"/>
        <v>7.333333333333325E-2</v>
      </c>
      <c r="G28" s="3">
        <f t="shared" si="3"/>
        <v>5.3777777777777652E-3</v>
      </c>
    </row>
    <row r="29" spans="1:7" x14ac:dyDescent="0.3">
      <c r="A29" s="22"/>
      <c r="B29" s="3">
        <v>0</v>
      </c>
      <c r="C29" s="3">
        <v>0.87</v>
      </c>
      <c r="D29" s="3">
        <f t="shared" si="7"/>
        <v>0.64111111111111108</v>
      </c>
      <c r="E29" s="3">
        <f t="shared" si="6"/>
        <v>0.22888888888888892</v>
      </c>
      <c r="F29" s="3">
        <f t="shared" si="2"/>
        <v>0.22888888888888892</v>
      </c>
      <c r="G29" s="3">
        <f t="shared" si="3"/>
        <v>5.2390123456790137E-2</v>
      </c>
    </row>
    <row r="30" spans="1:7" x14ac:dyDescent="0.3">
      <c r="A30" s="22"/>
      <c r="B30" s="3" t="s">
        <v>312</v>
      </c>
      <c r="C30" s="3">
        <v>0</v>
      </c>
      <c r="D30" s="3">
        <f t="shared" si="7"/>
        <v>0.73777777777777775</v>
      </c>
      <c r="E30" s="3">
        <f t="shared" si="6"/>
        <v>-0.73777777777777775</v>
      </c>
      <c r="F30" s="3">
        <f t="shared" si="2"/>
        <v>0.73777777777777775</v>
      </c>
      <c r="G30" s="3">
        <f t="shared" si="3"/>
        <v>0.54431604938271605</v>
      </c>
    </row>
    <row r="31" spans="1:7" x14ac:dyDescent="0.3">
      <c r="A31" s="23"/>
      <c r="B31" s="3" t="s">
        <v>313</v>
      </c>
      <c r="C31" s="3">
        <v>0</v>
      </c>
      <c r="D31" s="3">
        <f t="shared" si="7"/>
        <v>0.73777777777777775</v>
      </c>
      <c r="E31" s="3">
        <f t="shared" si="6"/>
        <v>-0.73777777777777775</v>
      </c>
      <c r="F31" s="3">
        <f t="shared" si="2"/>
        <v>0.73777777777777775</v>
      </c>
      <c r="G31" s="3">
        <f t="shared" si="3"/>
        <v>0.54431604938271605</v>
      </c>
    </row>
    <row r="32" spans="1:7" x14ac:dyDescent="0.3">
      <c r="A32" s="21" t="s">
        <v>309</v>
      </c>
      <c r="B32" s="3">
        <v>8</v>
      </c>
      <c r="C32" s="3">
        <v>1</v>
      </c>
      <c r="D32" s="3">
        <f>(SUM($C$32:$C$41)-C32)/(COUNT($C$32:$C$41)-1)</f>
        <v>0.56666666666666665</v>
      </c>
      <c r="E32" s="3">
        <f t="shared" si="6"/>
        <v>0.43333333333333335</v>
      </c>
      <c r="F32" s="3">
        <f t="shared" si="2"/>
        <v>0.43333333333333335</v>
      </c>
      <c r="G32" s="3">
        <f t="shared" si="3"/>
        <v>0.18777777777777779</v>
      </c>
    </row>
    <row r="33" spans="1:7" x14ac:dyDescent="0.3">
      <c r="A33" s="22"/>
      <c r="B33" s="3">
        <v>9</v>
      </c>
      <c r="C33" s="3">
        <v>0.66</v>
      </c>
      <c r="D33" s="3">
        <f t="shared" ref="D33:D41" si="8">(SUM($C$32:$C$41)-C33)/(COUNT($C$32:$C$41)-1)</f>
        <v>0.60444444444444434</v>
      </c>
      <c r="E33" s="3">
        <f t="shared" si="6"/>
        <v>5.5555555555555691E-2</v>
      </c>
      <c r="F33" s="3">
        <f t="shared" si="2"/>
        <v>5.5555555555555691E-2</v>
      </c>
      <c r="G33" s="3">
        <f t="shared" si="3"/>
        <v>3.0864197530864348E-3</v>
      </c>
    </row>
    <row r="34" spans="1:7" x14ac:dyDescent="0.3">
      <c r="A34" s="22"/>
      <c r="B34" s="3">
        <v>10</v>
      </c>
      <c r="C34" s="3">
        <v>0.84</v>
      </c>
      <c r="D34" s="3">
        <f t="shared" si="8"/>
        <v>0.58444444444444443</v>
      </c>
      <c r="E34" s="3">
        <f t="shared" si="6"/>
        <v>0.25555555555555554</v>
      </c>
      <c r="F34" s="3">
        <f t="shared" si="2"/>
        <v>0.25555555555555554</v>
      </c>
      <c r="G34" s="3">
        <f t="shared" si="3"/>
        <v>6.5308641975308626E-2</v>
      </c>
    </row>
    <row r="35" spans="1:7" x14ac:dyDescent="0.3">
      <c r="A35" s="22"/>
      <c r="B35" s="3">
        <v>11</v>
      </c>
      <c r="C35" s="3">
        <v>0.84</v>
      </c>
      <c r="D35" s="3">
        <f t="shared" si="8"/>
        <v>0.58444444444444443</v>
      </c>
      <c r="E35" s="3">
        <f t="shared" si="6"/>
        <v>0.25555555555555554</v>
      </c>
      <c r="F35" s="3">
        <f t="shared" si="2"/>
        <v>0.25555555555555554</v>
      </c>
      <c r="G35" s="3">
        <f t="shared" si="3"/>
        <v>6.5308641975308626E-2</v>
      </c>
    </row>
    <row r="36" spans="1:7" x14ac:dyDescent="0.3">
      <c r="A36" s="22"/>
      <c r="B36" s="3">
        <v>12</v>
      </c>
      <c r="C36" s="3">
        <v>0.68</v>
      </c>
      <c r="D36" s="3">
        <f t="shared" si="8"/>
        <v>0.60222222222222221</v>
      </c>
      <c r="E36" s="3">
        <f t="shared" si="6"/>
        <v>7.7777777777777835E-2</v>
      </c>
      <c r="F36" s="3">
        <f t="shared" si="2"/>
        <v>7.7777777777777835E-2</v>
      </c>
      <c r="G36" s="3">
        <f t="shared" si="3"/>
        <v>6.0493827160493915E-3</v>
      </c>
    </row>
    <row r="37" spans="1:7" x14ac:dyDescent="0.3">
      <c r="A37" s="22"/>
      <c r="B37" s="3">
        <v>16</v>
      </c>
      <c r="C37" s="3">
        <v>1.01</v>
      </c>
      <c r="D37" s="3">
        <f t="shared" si="8"/>
        <v>0.56555555555555559</v>
      </c>
      <c r="E37" s="3">
        <f t="shared" si="6"/>
        <v>0.44444444444444442</v>
      </c>
      <c r="F37" s="3">
        <f t="shared" si="2"/>
        <v>0.44444444444444442</v>
      </c>
      <c r="G37" s="3">
        <f t="shared" si="3"/>
        <v>0.19753086419753085</v>
      </c>
    </row>
    <row r="38" spans="1:7" x14ac:dyDescent="0.3">
      <c r="A38" s="22"/>
      <c r="B38" s="3">
        <v>20</v>
      </c>
      <c r="C38" s="3">
        <v>0.38</v>
      </c>
      <c r="D38" s="3">
        <f t="shared" si="8"/>
        <v>0.63555555555555554</v>
      </c>
      <c r="E38" s="3">
        <f t="shared" si="6"/>
        <v>-0.25555555555555554</v>
      </c>
      <c r="F38" s="3">
        <f t="shared" si="2"/>
        <v>0.25555555555555554</v>
      </c>
      <c r="G38" s="3">
        <f t="shared" si="3"/>
        <v>6.5308641975308626E-2</v>
      </c>
    </row>
    <row r="39" spans="1:7" x14ac:dyDescent="0.3">
      <c r="A39" s="22"/>
      <c r="B39" s="3">
        <v>0</v>
      </c>
      <c r="C39" s="3">
        <v>0.69</v>
      </c>
      <c r="D39" s="3">
        <f t="shared" si="8"/>
        <v>0.60111111111111115</v>
      </c>
      <c r="E39" s="3">
        <f t="shared" si="6"/>
        <v>8.8888888888888795E-2</v>
      </c>
      <c r="F39" s="3">
        <f t="shared" si="2"/>
        <v>8.8888888888888795E-2</v>
      </c>
      <c r="G39" s="3">
        <f t="shared" si="3"/>
        <v>7.9012345679012174E-3</v>
      </c>
    </row>
    <row r="40" spans="1:7" x14ac:dyDescent="0.3">
      <c r="A40" s="22"/>
      <c r="B40" s="3" t="s">
        <v>312</v>
      </c>
      <c r="C40" s="3">
        <v>0</v>
      </c>
      <c r="D40" s="3">
        <f t="shared" si="8"/>
        <v>0.6777777777777777</v>
      </c>
      <c r="E40" s="3">
        <f t="shared" si="6"/>
        <v>-0.6777777777777777</v>
      </c>
      <c r="F40" s="3">
        <f t="shared" si="2"/>
        <v>0.6777777777777777</v>
      </c>
      <c r="G40" s="3">
        <f t="shared" si="3"/>
        <v>0.45938271604938263</v>
      </c>
    </row>
    <row r="41" spans="1:7" x14ac:dyDescent="0.3">
      <c r="A41" s="23"/>
      <c r="B41" s="3" t="s">
        <v>313</v>
      </c>
      <c r="C41" s="3">
        <v>0</v>
      </c>
      <c r="D41" s="3">
        <f t="shared" si="8"/>
        <v>0.6777777777777777</v>
      </c>
      <c r="E41" s="3">
        <f t="shared" si="6"/>
        <v>-0.6777777777777777</v>
      </c>
      <c r="F41" s="3">
        <f t="shared" si="2"/>
        <v>0.6777777777777777</v>
      </c>
      <c r="G41" s="3">
        <f t="shared" si="3"/>
        <v>0.45938271604938263</v>
      </c>
    </row>
    <row r="42" spans="1:7" x14ac:dyDescent="0.3">
      <c r="A42" s="21" t="s">
        <v>310</v>
      </c>
      <c r="B42" s="3">
        <v>8</v>
      </c>
      <c r="C42" s="3">
        <v>0.87</v>
      </c>
      <c r="D42" s="3">
        <f>(SUM($C$42:$C$51)-C42)/(COUNT($C$42:$C$51)-1)</f>
        <v>0.99000000000000021</v>
      </c>
      <c r="E42" s="3">
        <f t="shared" si="6"/>
        <v>-0.12000000000000022</v>
      </c>
      <c r="F42" s="3">
        <f t="shared" si="2"/>
        <v>0.12000000000000022</v>
      </c>
      <c r="G42" s="3">
        <f t="shared" si="3"/>
        <v>1.4400000000000052E-2</v>
      </c>
    </row>
    <row r="43" spans="1:7" x14ac:dyDescent="0.3">
      <c r="A43" s="22"/>
      <c r="B43" s="3">
        <v>9</v>
      </c>
      <c r="C43" s="3">
        <v>0.92</v>
      </c>
      <c r="D43" s="3">
        <f t="shared" ref="D43:D51" si="9">(SUM($C$42:$C$51)-C43)/(COUNT($C$42:$C$51)-1)</f>
        <v>0.98444444444444457</v>
      </c>
      <c r="E43" s="3">
        <f t="shared" si="6"/>
        <v>-6.4444444444444526E-2</v>
      </c>
      <c r="F43" s="3">
        <f t="shared" si="2"/>
        <v>6.4444444444444526E-2</v>
      </c>
      <c r="G43" s="3">
        <f t="shared" si="3"/>
        <v>4.1530864197530971E-3</v>
      </c>
    </row>
    <row r="44" spans="1:7" x14ac:dyDescent="0.3">
      <c r="A44" s="22"/>
      <c r="B44" s="3">
        <v>10</v>
      </c>
      <c r="C44" s="3">
        <v>1.1100000000000001</v>
      </c>
      <c r="D44" s="3">
        <f t="shared" si="9"/>
        <v>0.96333333333333349</v>
      </c>
      <c r="E44" s="3">
        <f t="shared" si="6"/>
        <v>0.14666666666666661</v>
      </c>
      <c r="F44" s="3">
        <f t="shared" si="2"/>
        <v>0.14666666666666661</v>
      </c>
      <c r="G44" s="3">
        <f t="shared" si="3"/>
        <v>2.1511111111111095E-2</v>
      </c>
    </row>
    <row r="45" spans="1:7" x14ac:dyDescent="0.3">
      <c r="A45" s="22"/>
      <c r="B45" s="3">
        <v>11</v>
      </c>
      <c r="C45" s="3">
        <v>0.79</v>
      </c>
      <c r="D45" s="3">
        <f t="shared" si="9"/>
        <v>0.99888888888888916</v>
      </c>
      <c r="E45" s="3">
        <f t="shared" si="6"/>
        <v>-0.20888888888888912</v>
      </c>
      <c r="F45" s="3">
        <f t="shared" si="2"/>
        <v>0.20888888888888912</v>
      </c>
      <c r="G45" s="3">
        <f t="shared" si="3"/>
        <v>4.3634567901234669E-2</v>
      </c>
    </row>
    <row r="46" spans="1:7" x14ac:dyDescent="0.3">
      <c r="A46" s="22"/>
      <c r="B46" s="3">
        <v>12</v>
      </c>
      <c r="C46" s="3">
        <v>4.08</v>
      </c>
      <c r="D46" s="3">
        <f t="shared" si="9"/>
        <v>0.63333333333333341</v>
      </c>
      <c r="E46" s="3">
        <f t="shared" si="6"/>
        <v>3.4466666666666668</v>
      </c>
      <c r="F46" s="3">
        <f t="shared" si="2"/>
        <v>3.4466666666666668</v>
      </c>
      <c r="G46" s="3">
        <f t="shared" si="3"/>
        <v>11.879511111111112</v>
      </c>
    </row>
    <row r="47" spans="1:7" x14ac:dyDescent="0.3">
      <c r="A47" s="22"/>
      <c r="B47" s="3">
        <v>16</v>
      </c>
      <c r="C47" s="3">
        <v>0.67</v>
      </c>
      <c r="D47" s="3">
        <f t="shared" si="9"/>
        <v>1.0122222222222224</v>
      </c>
      <c r="E47" s="3">
        <f t="shared" si="6"/>
        <v>-0.34222222222222232</v>
      </c>
      <c r="F47" s="3">
        <f t="shared" si="2"/>
        <v>0.34222222222222232</v>
      </c>
      <c r="G47" s="3">
        <f t="shared" si="3"/>
        <v>0.11711604938271611</v>
      </c>
    </row>
    <row r="48" spans="1:7" x14ac:dyDescent="0.3">
      <c r="A48" s="22"/>
      <c r="B48" s="3">
        <v>20</v>
      </c>
      <c r="C48" s="3">
        <v>0.42</v>
      </c>
      <c r="D48" s="3">
        <f t="shared" si="9"/>
        <v>1.04</v>
      </c>
      <c r="E48" s="3">
        <f t="shared" si="6"/>
        <v>-0.62000000000000011</v>
      </c>
      <c r="F48" s="3">
        <f t="shared" si="2"/>
        <v>0.62000000000000011</v>
      </c>
      <c r="G48" s="3">
        <f t="shared" si="3"/>
        <v>0.38440000000000013</v>
      </c>
    </row>
    <row r="49" spans="1:7" x14ac:dyDescent="0.3">
      <c r="A49" s="22"/>
      <c r="B49" s="3">
        <v>0</v>
      </c>
      <c r="C49" s="3">
        <v>0.92</v>
      </c>
      <c r="D49" s="3">
        <f t="shared" si="9"/>
        <v>0.98444444444444457</v>
      </c>
      <c r="E49" s="3">
        <f t="shared" si="6"/>
        <v>-6.4444444444444526E-2</v>
      </c>
      <c r="F49" s="3">
        <f t="shared" si="2"/>
        <v>6.4444444444444526E-2</v>
      </c>
      <c r="G49" s="3">
        <f t="shared" si="3"/>
        <v>4.1530864197530971E-3</v>
      </c>
    </row>
    <row r="50" spans="1:7" x14ac:dyDescent="0.3">
      <c r="A50" s="22"/>
      <c r="B50" s="3" t="s">
        <v>312</v>
      </c>
      <c r="C50" s="3">
        <v>0</v>
      </c>
      <c r="D50" s="3">
        <f t="shared" si="9"/>
        <v>1.0866666666666669</v>
      </c>
      <c r="E50" s="3">
        <f t="shared" si="6"/>
        <v>-1.0866666666666669</v>
      </c>
      <c r="F50" s="3">
        <f t="shared" si="2"/>
        <v>1.0866666666666669</v>
      </c>
      <c r="G50" s="3">
        <f t="shared" si="3"/>
        <v>1.180844444444445</v>
      </c>
    </row>
    <row r="51" spans="1:7" x14ac:dyDescent="0.3">
      <c r="A51" s="23"/>
      <c r="B51" s="3" t="s">
        <v>313</v>
      </c>
      <c r="C51" s="3">
        <v>0</v>
      </c>
      <c r="D51" s="3">
        <f t="shared" si="9"/>
        <v>1.0866666666666669</v>
      </c>
      <c r="E51" s="3">
        <f t="shared" si="6"/>
        <v>-1.0866666666666669</v>
      </c>
      <c r="F51" s="3">
        <f t="shared" si="2"/>
        <v>1.0866666666666669</v>
      </c>
      <c r="G51" s="3">
        <f t="shared" si="3"/>
        <v>1.180844444444445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C82A-890C-4048-972A-F055BCDD041A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331</v>
      </c>
      <c r="D1" s="10" t="s">
        <v>330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0.01</v>
      </c>
      <c r="D2" s="3">
        <f>(SUM($C$2:$C$11)-C2)/(COUNT($C$2:$C$11)-1)</f>
        <v>2.2222222222222218E-3</v>
      </c>
      <c r="E2" s="3">
        <f>C2-D2</f>
        <v>7.7777777777777784E-3</v>
      </c>
      <c r="F2" s="3">
        <f>ABS(E2)</f>
        <v>7.7777777777777784E-3</v>
      </c>
      <c r="G2" s="3">
        <f>E2^2</f>
        <v>6.0493827160493838E-5</v>
      </c>
    </row>
    <row r="3" spans="1:15" x14ac:dyDescent="0.3">
      <c r="A3" s="22"/>
      <c r="B3" s="3">
        <v>9</v>
      </c>
      <c r="C3" s="3">
        <v>0</v>
      </c>
      <c r="D3" s="3">
        <f t="shared" ref="D3:D11" si="0">(SUM($C$2:$C$11)-C3)/(COUNT($C$2:$C$11)-1)</f>
        <v>3.3333333333333331E-3</v>
      </c>
      <c r="E3" s="3">
        <f t="shared" ref="E3:E11" si="1">C3-D3</f>
        <v>-3.3333333333333331E-3</v>
      </c>
      <c r="F3" s="3">
        <f t="shared" ref="F3:F51" si="2">ABS(E3)</f>
        <v>3.3333333333333331E-3</v>
      </c>
      <c r="G3" s="3">
        <f t="shared" ref="G3:G51" si="3">E3^2</f>
        <v>1.111111111111111E-5</v>
      </c>
    </row>
    <row r="4" spans="1:15" x14ac:dyDescent="0.3">
      <c r="A4" s="22"/>
      <c r="B4" s="3">
        <v>10</v>
      </c>
      <c r="C4" s="3">
        <v>0</v>
      </c>
      <c r="D4" s="3">
        <f t="shared" si="0"/>
        <v>3.3333333333333331E-3</v>
      </c>
      <c r="E4" s="3">
        <f t="shared" si="1"/>
        <v>-3.3333333333333331E-3</v>
      </c>
      <c r="F4" s="3">
        <f t="shared" si="2"/>
        <v>3.3333333333333331E-3</v>
      </c>
      <c r="G4" s="3">
        <f t="shared" si="3"/>
        <v>1.111111111111111E-5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0.01</v>
      </c>
      <c r="D5" s="3">
        <f t="shared" si="0"/>
        <v>2.2222222222222218E-3</v>
      </c>
      <c r="E5" s="3">
        <f t="shared" si="1"/>
        <v>7.7777777777777784E-3</v>
      </c>
      <c r="F5" s="3">
        <f t="shared" si="2"/>
        <v>7.7777777777777784E-3</v>
      </c>
      <c r="G5" s="3">
        <f t="shared" si="3"/>
        <v>6.0493827160493838E-5</v>
      </c>
      <c r="J5" s="2" t="s">
        <v>297</v>
      </c>
      <c r="K5" s="3">
        <f>AVERAGE(E6:E11)</f>
        <v>-1.4814814814814812E-3</v>
      </c>
      <c r="L5" s="3">
        <f>AVERAGE(F6:F11)</f>
        <v>4.0740740740740746E-3</v>
      </c>
      <c r="M5" s="3">
        <f>AVERAGE(G6:G11)</f>
        <v>1.9341563786008232E-5</v>
      </c>
      <c r="N5" s="3">
        <f>SQRT(M5)</f>
        <v>4.3979044766807099E-3</v>
      </c>
      <c r="O5" s="3">
        <f>N5/AVERAGE(C6:C11)*100</f>
        <v>263.87426860084258</v>
      </c>
    </row>
    <row r="6" spans="1:15" x14ac:dyDescent="0.3">
      <c r="A6" s="22"/>
      <c r="B6" s="3">
        <v>12</v>
      </c>
      <c r="C6" s="3">
        <v>0</v>
      </c>
      <c r="D6" s="3">
        <f t="shared" si="0"/>
        <v>3.3333333333333331E-3</v>
      </c>
      <c r="E6" s="3">
        <f t="shared" si="1"/>
        <v>-3.3333333333333331E-3</v>
      </c>
      <c r="F6" s="3">
        <f t="shared" si="2"/>
        <v>3.3333333333333331E-3</v>
      </c>
      <c r="G6" s="3">
        <f t="shared" si="3"/>
        <v>1.111111111111111E-5</v>
      </c>
      <c r="J6" s="2">
        <v>33</v>
      </c>
      <c r="K6" s="3">
        <f>AVERAGE(E16:E21)</f>
        <v>-1.4814814814814812E-3</v>
      </c>
      <c r="L6" s="3">
        <f>AVERAGE(F16:F21)</f>
        <v>4.0740740740740746E-3</v>
      </c>
      <c r="M6" s="3">
        <f>AVERAGE(G16:G21)</f>
        <v>1.9341563786008232E-5</v>
      </c>
      <c r="N6" s="3">
        <f t="shared" ref="N6:N9" si="4">SQRT(M6)</f>
        <v>4.3979044766807099E-3</v>
      </c>
      <c r="O6" s="3">
        <f>N6/AVERAGE(C16:C21)*100</f>
        <v>263.87426860084258</v>
      </c>
    </row>
    <row r="7" spans="1:15" x14ac:dyDescent="0.3">
      <c r="A7" s="22"/>
      <c r="B7" s="3">
        <v>16</v>
      </c>
      <c r="C7" s="3">
        <v>0</v>
      </c>
      <c r="D7" s="3">
        <f t="shared" si="0"/>
        <v>3.3333333333333331E-3</v>
      </c>
      <c r="E7" s="3">
        <f t="shared" si="1"/>
        <v>-3.3333333333333331E-3</v>
      </c>
      <c r="F7" s="3">
        <f t="shared" si="2"/>
        <v>3.3333333333333331E-3</v>
      </c>
      <c r="G7" s="3">
        <f t="shared" si="3"/>
        <v>1.111111111111111E-5</v>
      </c>
      <c r="J7" s="2">
        <v>46</v>
      </c>
      <c r="K7" s="3">
        <f>AVERAGE(E26:E31)</f>
        <v>-1.8518518518518519E-3</v>
      </c>
      <c r="L7" s="3">
        <f>AVERAGE(F26:F31)</f>
        <v>5.5555555555555558E-3</v>
      </c>
      <c r="M7" s="3">
        <f>AVERAGE(G26:G31)</f>
        <v>3.0864197530864198E-5</v>
      </c>
      <c r="N7" s="3">
        <f t="shared" si="4"/>
        <v>5.5555555555555558E-3</v>
      </c>
      <c r="O7" s="3">
        <f>N7/AVERAGE(C26:C31)*100</f>
        <v>166.66666666666666</v>
      </c>
    </row>
    <row r="8" spans="1:15" x14ac:dyDescent="0.3">
      <c r="A8" s="22"/>
      <c r="B8" s="3">
        <v>20</v>
      </c>
      <c r="C8" s="3">
        <v>0</v>
      </c>
      <c r="D8" s="3">
        <f t="shared" si="0"/>
        <v>3.3333333333333331E-3</v>
      </c>
      <c r="E8" s="3">
        <f t="shared" si="1"/>
        <v>-3.3333333333333331E-3</v>
      </c>
      <c r="F8" s="3">
        <f t="shared" si="2"/>
        <v>3.3333333333333331E-3</v>
      </c>
      <c r="G8" s="3">
        <f t="shared" si="3"/>
        <v>1.111111111111111E-5</v>
      </c>
      <c r="J8" s="2" t="s">
        <v>309</v>
      </c>
      <c r="K8" s="3">
        <f>AVERAGE(E36:E41)</f>
        <v>1.1111111111111113E-3</v>
      </c>
      <c r="L8" s="3">
        <f>AVERAGE(F36:F41)</f>
        <v>1.1111111111111113E-3</v>
      </c>
      <c r="M8" s="3">
        <f>AVERAGE(G36:G41)</f>
        <v>1.2345679012345683E-6</v>
      </c>
      <c r="N8" s="3">
        <f t="shared" si="4"/>
        <v>1.1111111111111113E-3</v>
      </c>
      <c r="O8" s="3">
        <f>N8/AVERAGE(C36:C41)*100</f>
        <v>11.111111111111112</v>
      </c>
    </row>
    <row r="9" spans="1:15" x14ac:dyDescent="0.3">
      <c r="A9" s="22"/>
      <c r="B9" s="3">
        <v>0</v>
      </c>
      <c r="C9" s="3">
        <v>0.01</v>
      </c>
      <c r="D9" s="3">
        <f t="shared" si="0"/>
        <v>2.2222222222222218E-3</v>
      </c>
      <c r="E9" s="3">
        <f t="shared" si="1"/>
        <v>7.7777777777777784E-3</v>
      </c>
      <c r="F9" s="3">
        <f t="shared" si="2"/>
        <v>7.7777777777777784E-3</v>
      </c>
      <c r="G9" s="3">
        <f t="shared" si="3"/>
        <v>6.0493827160493838E-5</v>
      </c>
      <c r="J9" s="2" t="s">
        <v>310</v>
      </c>
      <c r="K9" s="3">
        <f>AVERAGE(E46:E51)</f>
        <v>-1.1111111111111115E-3</v>
      </c>
      <c r="L9" s="3">
        <f>AVERAGE(F46:F51)</f>
        <v>5.5555555555555558E-3</v>
      </c>
      <c r="M9" s="3">
        <f>AVERAGE(G46:G51)</f>
        <v>3.209876543209877E-5</v>
      </c>
      <c r="N9" s="3">
        <f t="shared" si="4"/>
        <v>5.6655772373253172E-3</v>
      </c>
      <c r="O9" s="3">
        <f>N9/AVERAGE(C46:C51)*100</f>
        <v>113.31154474650633</v>
      </c>
    </row>
    <row r="10" spans="1:15" x14ac:dyDescent="0.3">
      <c r="A10" s="22"/>
      <c r="B10" s="3" t="s">
        <v>312</v>
      </c>
      <c r="C10" s="3">
        <v>0</v>
      </c>
      <c r="D10" s="3">
        <f t="shared" si="0"/>
        <v>3.3333333333333331E-3</v>
      </c>
      <c r="E10" s="3">
        <f t="shared" si="1"/>
        <v>-3.3333333333333331E-3</v>
      </c>
      <c r="F10" s="3">
        <f t="shared" si="2"/>
        <v>3.3333333333333331E-3</v>
      </c>
      <c r="G10" s="3">
        <f t="shared" si="3"/>
        <v>1.111111111111111E-5</v>
      </c>
    </row>
    <row r="11" spans="1:15" x14ac:dyDescent="0.3">
      <c r="A11" s="23"/>
      <c r="B11" s="3" t="s">
        <v>313</v>
      </c>
      <c r="C11" s="3">
        <v>0</v>
      </c>
      <c r="D11" s="3">
        <f t="shared" si="0"/>
        <v>3.3333333333333331E-3</v>
      </c>
      <c r="E11" s="3">
        <f t="shared" si="1"/>
        <v>-3.3333333333333331E-3</v>
      </c>
      <c r="F11" s="3">
        <f t="shared" si="2"/>
        <v>3.3333333333333331E-3</v>
      </c>
      <c r="G11" s="3">
        <f t="shared" si="3"/>
        <v>1.111111111111111E-5</v>
      </c>
    </row>
    <row r="12" spans="1:15" x14ac:dyDescent="0.3">
      <c r="A12" s="21">
        <v>33</v>
      </c>
      <c r="B12" s="9">
        <v>8</v>
      </c>
      <c r="C12" s="3">
        <v>0</v>
      </c>
      <c r="D12" s="3">
        <f>(SUM($C$12:$C$21)-C12)/(COUNT($C$12:$C$21)-1)</f>
        <v>3.3333333333333331E-3</v>
      </c>
      <c r="E12" s="3">
        <f>C12-D12</f>
        <v>-3.3333333333333331E-3</v>
      </c>
      <c r="F12" s="3">
        <f t="shared" si="2"/>
        <v>3.3333333333333331E-3</v>
      </c>
      <c r="G12" s="3">
        <f t="shared" si="3"/>
        <v>1.111111111111111E-5</v>
      </c>
      <c r="K12" s="4"/>
      <c r="L12" s="4"/>
      <c r="M12" s="4"/>
      <c r="N12" s="4"/>
    </row>
    <row r="13" spans="1:15" x14ac:dyDescent="0.3">
      <c r="A13" s="22"/>
      <c r="B13" s="3">
        <v>9</v>
      </c>
      <c r="C13" s="3">
        <v>0</v>
      </c>
      <c r="D13" s="3">
        <f t="shared" ref="D13:D21" si="5">(SUM($C$12:$C$21)-C13)/(COUNT($C$12:$C$21)-1)</f>
        <v>3.3333333333333331E-3</v>
      </c>
      <c r="E13" s="3">
        <f t="shared" ref="E13:E51" si="6">C13-D13</f>
        <v>-3.3333333333333331E-3</v>
      </c>
      <c r="F13" s="3">
        <f t="shared" si="2"/>
        <v>3.3333333333333331E-3</v>
      </c>
      <c r="G13" s="3">
        <f t="shared" si="3"/>
        <v>1.111111111111111E-5</v>
      </c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0.01</v>
      </c>
      <c r="D14" s="3">
        <f t="shared" si="5"/>
        <v>2.2222222222222218E-3</v>
      </c>
      <c r="E14" s="3">
        <f t="shared" si="6"/>
        <v>7.7777777777777784E-3</v>
      </c>
      <c r="F14" s="3">
        <f t="shared" si="2"/>
        <v>7.7777777777777784E-3</v>
      </c>
      <c r="G14" s="3">
        <f t="shared" si="3"/>
        <v>6.0493827160493838E-5</v>
      </c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0.01</v>
      </c>
      <c r="D15" s="3">
        <f t="shared" si="5"/>
        <v>2.2222222222222218E-3</v>
      </c>
      <c r="E15" s="3">
        <f t="shared" si="6"/>
        <v>7.7777777777777784E-3</v>
      </c>
      <c r="F15" s="3">
        <f t="shared" si="2"/>
        <v>7.7777777777777784E-3</v>
      </c>
      <c r="G15" s="3">
        <f t="shared" si="3"/>
        <v>6.0493827160493838E-5</v>
      </c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0.01</v>
      </c>
      <c r="D16" s="3">
        <f t="shared" si="5"/>
        <v>2.2222222222222218E-3</v>
      </c>
      <c r="E16" s="3">
        <f t="shared" si="6"/>
        <v>7.7777777777777784E-3</v>
      </c>
      <c r="F16" s="3">
        <f t="shared" si="2"/>
        <v>7.7777777777777784E-3</v>
      </c>
      <c r="G16" s="3">
        <f t="shared" si="3"/>
        <v>6.0493827160493838E-5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</v>
      </c>
      <c r="D17" s="3">
        <f t="shared" si="5"/>
        <v>3.3333333333333331E-3</v>
      </c>
      <c r="E17" s="3">
        <f t="shared" si="6"/>
        <v>-3.3333333333333331E-3</v>
      </c>
      <c r="F17" s="3">
        <f t="shared" si="2"/>
        <v>3.3333333333333331E-3</v>
      </c>
      <c r="G17" s="3">
        <f t="shared" si="3"/>
        <v>1.111111111111111E-5</v>
      </c>
    </row>
    <row r="18" spans="1:7" x14ac:dyDescent="0.3">
      <c r="A18" s="22"/>
      <c r="B18" s="3">
        <v>20</v>
      </c>
      <c r="C18" s="3">
        <v>0</v>
      </c>
      <c r="D18" s="3">
        <f t="shared" si="5"/>
        <v>3.3333333333333331E-3</v>
      </c>
      <c r="E18" s="3">
        <f t="shared" si="6"/>
        <v>-3.3333333333333331E-3</v>
      </c>
      <c r="F18" s="3">
        <f t="shared" si="2"/>
        <v>3.3333333333333331E-3</v>
      </c>
      <c r="G18" s="3">
        <f t="shared" si="3"/>
        <v>1.111111111111111E-5</v>
      </c>
    </row>
    <row r="19" spans="1:7" x14ac:dyDescent="0.3">
      <c r="A19" s="22"/>
      <c r="B19" s="3">
        <v>0</v>
      </c>
      <c r="C19" s="3">
        <v>0</v>
      </c>
      <c r="D19" s="3">
        <f t="shared" si="5"/>
        <v>3.3333333333333331E-3</v>
      </c>
      <c r="E19" s="3">
        <f t="shared" si="6"/>
        <v>-3.3333333333333331E-3</v>
      </c>
      <c r="F19" s="3">
        <f t="shared" si="2"/>
        <v>3.3333333333333331E-3</v>
      </c>
      <c r="G19" s="3">
        <f t="shared" si="3"/>
        <v>1.111111111111111E-5</v>
      </c>
    </row>
    <row r="20" spans="1:7" x14ac:dyDescent="0.3">
      <c r="A20" s="22"/>
      <c r="B20" s="3" t="s">
        <v>312</v>
      </c>
      <c r="C20" s="3">
        <v>0</v>
      </c>
      <c r="D20" s="3">
        <f t="shared" si="5"/>
        <v>3.3333333333333331E-3</v>
      </c>
      <c r="E20" s="3">
        <f t="shared" si="6"/>
        <v>-3.3333333333333331E-3</v>
      </c>
      <c r="F20" s="3">
        <f t="shared" si="2"/>
        <v>3.3333333333333331E-3</v>
      </c>
      <c r="G20" s="3">
        <f t="shared" si="3"/>
        <v>1.111111111111111E-5</v>
      </c>
    </row>
    <row r="21" spans="1:7" x14ac:dyDescent="0.3">
      <c r="A21" s="23"/>
      <c r="B21" s="3" t="s">
        <v>313</v>
      </c>
      <c r="C21" s="3">
        <v>0</v>
      </c>
      <c r="D21" s="3">
        <f t="shared" si="5"/>
        <v>3.3333333333333331E-3</v>
      </c>
      <c r="E21" s="3">
        <f t="shared" si="6"/>
        <v>-3.3333333333333331E-3</v>
      </c>
      <c r="F21" s="3">
        <f t="shared" si="2"/>
        <v>3.3333333333333331E-3</v>
      </c>
      <c r="G21" s="3">
        <f t="shared" si="3"/>
        <v>1.111111111111111E-5</v>
      </c>
    </row>
    <row r="22" spans="1:7" x14ac:dyDescent="0.3">
      <c r="A22" s="21">
        <v>46</v>
      </c>
      <c r="B22" s="9">
        <v>8</v>
      </c>
      <c r="C22" s="3">
        <v>0.01</v>
      </c>
      <c r="D22" s="3">
        <f>(SUM($C$22:$C$31)-C22)/(COUNT($C$22:$C$31)-1)</f>
        <v>4.4444444444444444E-3</v>
      </c>
      <c r="E22" s="3">
        <f t="shared" si="6"/>
        <v>5.5555555555555558E-3</v>
      </c>
      <c r="F22" s="3">
        <f t="shared" si="2"/>
        <v>5.5555555555555558E-3</v>
      </c>
      <c r="G22" s="3">
        <f t="shared" si="3"/>
        <v>3.0864197530864198E-5</v>
      </c>
    </row>
    <row r="23" spans="1:7" x14ac:dyDescent="0.3">
      <c r="A23" s="22"/>
      <c r="B23" s="3">
        <v>9</v>
      </c>
      <c r="C23" s="3">
        <v>0.01</v>
      </c>
      <c r="D23" s="3">
        <f t="shared" ref="D23:D31" si="7">(SUM($C$22:$C$31)-C23)/(COUNT($C$22:$C$31)-1)</f>
        <v>4.4444444444444444E-3</v>
      </c>
      <c r="E23" s="3">
        <f t="shared" si="6"/>
        <v>5.5555555555555558E-3</v>
      </c>
      <c r="F23" s="3">
        <f t="shared" si="2"/>
        <v>5.5555555555555558E-3</v>
      </c>
      <c r="G23" s="3">
        <f t="shared" si="3"/>
        <v>3.0864197530864198E-5</v>
      </c>
    </row>
    <row r="24" spans="1:7" x14ac:dyDescent="0.3">
      <c r="A24" s="22"/>
      <c r="B24" s="3">
        <v>10</v>
      </c>
      <c r="C24" s="3">
        <v>0</v>
      </c>
      <c r="D24" s="3">
        <f t="shared" si="7"/>
        <v>5.5555555555555558E-3</v>
      </c>
      <c r="E24" s="3">
        <f t="shared" si="6"/>
        <v>-5.5555555555555558E-3</v>
      </c>
      <c r="F24" s="3">
        <f t="shared" si="2"/>
        <v>5.5555555555555558E-3</v>
      </c>
      <c r="G24" s="3">
        <f t="shared" si="3"/>
        <v>3.0864197530864198E-5</v>
      </c>
    </row>
    <row r="25" spans="1:7" x14ac:dyDescent="0.3">
      <c r="A25" s="22"/>
      <c r="B25" s="3">
        <v>11</v>
      </c>
      <c r="C25" s="3">
        <v>0.01</v>
      </c>
      <c r="D25" s="3">
        <f t="shared" si="7"/>
        <v>4.4444444444444444E-3</v>
      </c>
      <c r="E25" s="3">
        <f t="shared" si="6"/>
        <v>5.5555555555555558E-3</v>
      </c>
      <c r="F25" s="3">
        <f t="shared" si="2"/>
        <v>5.5555555555555558E-3</v>
      </c>
      <c r="G25" s="3">
        <f t="shared" si="3"/>
        <v>3.0864197530864198E-5</v>
      </c>
    </row>
    <row r="26" spans="1:7" x14ac:dyDescent="0.3">
      <c r="A26" s="22"/>
      <c r="B26" s="3">
        <v>12</v>
      </c>
      <c r="C26" s="3">
        <v>0.01</v>
      </c>
      <c r="D26" s="3">
        <f t="shared" si="7"/>
        <v>4.4444444444444444E-3</v>
      </c>
      <c r="E26" s="3">
        <f t="shared" si="6"/>
        <v>5.5555555555555558E-3</v>
      </c>
      <c r="F26" s="3">
        <f t="shared" si="2"/>
        <v>5.5555555555555558E-3</v>
      </c>
      <c r="G26" s="3">
        <f t="shared" si="3"/>
        <v>3.0864197530864198E-5</v>
      </c>
    </row>
    <row r="27" spans="1:7" x14ac:dyDescent="0.3">
      <c r="A27" s="22"/>
      <c r="B27" s="3">
        <v>16</v>
      </c>
      <c r="C27" s="3">
        <v>0.01</v>
      </c>
      <c r="D27" s="3">
        <f t="shared" si="7"/>
        <v>4.4444444444444444E-3</v>
      </c>
      <c r="E27" s="3">
        <f t="shared" si="6"/>
        <v>5.5555555555555558E-3</v>
      </c>
      <c r="F27" s="3">
        <f t="shared" si="2"/>
        <v>5.5555555555555558E-3</v>
      </c>
      <c r="G27" s="3">
        <f t="shared" si="3"/>
        <v>3.0864197530864198E-5</v>
      </c>
    </row>
    <row r="28" spans="1:7" x14ac:dyDescent="0.3">
      <c r="A28" s="22"/>
      <c r="B28" s="3">
        <v>20</v>
      </c>
      <c r="C28" s="3">
        <v>0</v>
      </c>
      <c r="D28" s="3">
        <f t="shared" si="7"/>
        <v>5.5555555555555558E-3</v>
      </c>
      <c r="E28" s="3">
        <f t="shared" si="6"/>
        <v>-5.5555555555555558E-3</v>
      </c>
      <c r="F28" s="3">
        <f t="shared" si="2"/>
        <v>5.5555555555555558E-3</v>
      </c>
      <c r="G28" s="3">
        <f t="shared" si="3"/>
        <v>3.0864197530864198E-5</v>
      </c>
    </row>
    <row r="29" spans="1:7" x14ac:dyDescent="0.3">
      <c r="A29" s="22"/>
      <c r="B29" s="3">
        <v>0</v>
      </c>
      <c r="C29" s="3">
        <v>0</v>
      </c>
      <c r="D29" s="3">
        <f t="shared" si="7"/>
        <v>5.5555555555555558E-3</v>
      </c>
      <c r="E29" s="3">
        <f t="shared" si="6"/>
        <v>-5.5555555555555558E-3</v>
      </c>
      <c r="F29" s="3">
        <f t="shared" si="2"/>
        <v>5.5555555555555558E-3</v>
      </c>
      <c r="G29" s="3">
        <f t="shared" si="3"/>
        <v>3.0864197530864198E-5</v>
      </c>
    </row>
    <row r="30" spans="1:7" x14ac:dyDescent="0.3">
      <c r="A30" s="22"/>
      <c r="B30" s="3" t="s">
        <v>312</v>
      </c>
      <c r="C30" s="3">
        <v>0</v>
      </c>
      <c r="D30" s="3">
        <f t="shared" si="7"/>
        <v>5.5555555555555558E-3</v>
      </c>
      <c r="E30" s="3">
        <f t="shared" si="6"/>
        <v>-5.5555555555555558E-3</v>
      </c>
      <c r="F30" s="3">
        <f t="shared" si="2"/>
        <v>5.5555555555555558E-3</v>
      </c>
      <c r="G30" s="3">
        <f t="shared" si="3"/>
        <v>3.0864197530864198E-5</v>
      </c>
    </row>
    <row r="31" spans="1:7" x14ac:dyDescent="0.3">
      <c r="A31" s="23"/>
      <c r="B31" s="3" t="s">
        <v>313</v>
      </c>
      <c r="C31" s="3">
        <v>0</v>
      </c>
      <c r="D31" s="3">
        <f t="shared" si="7"/>
        <v>5.5555555555555558E-3</v>
      </c>
      <c r="E31" s="3">
        <f t="shared" si="6"/>
        <v>-5.5555555555555558E-3</v>
      </c>
      <c r="F31" s="3">
        <f t="shared" si="2"/>
        <v>5.5555555555555558E-3</v>
      </c>
      <c r="G31" s="3">
        <f t="shared" si="3"/>
        <v>3.0864197530864198E-5</v>
      </c>
    </row>
    <row r="32" spans="1:7" x14ac:dyDescent="0.3">
      <c r="A32" s="21" t="s">
        <v>309</v>
      </c>
      <c r="B32" s="3">
        <v>8</v>
      </c>
      <c r="C32" s="3">
        <v>0</v>
      </c>
      <c r="D32" s="3">
        <f>(SUM($C$32:$C$41)-C32)/(COUNT($C$32:$C$41)-1)</f>
        <v>0.01</v>
      </c>
      <c r="E32" s="3">
        <f t="shared" si="6"/>
        <v>-0.01</v>
      </c>
      <c r="F32" s="3">
        <f t="shared" si="2"/>
        <v>0.01</v>
      </c>
      <c r="G32" s="3">
        <f t="shared" si="3"/>
        <v>1E-4</v>
      </c>
    </row>
    <row r="33" spans="1:7" x14ac:dyDescent="0.3">
      <c r="A33" s="22"/>
      <c r="B33" s="3">
        <v>9</v>
      </c>
      <c r="C33" s="3">
        <v>0.01</v>
      </c>
      <c r="D33" s="3">
        <f t="shared" ref="D33:D41" si="8">(SUM($C$32:$C$41)-C33)/(COUNT($C$32:$C$41)-1)</f>
        <v>8.8888888888888889E-3</v>
      </c>
      <c r="E33" s="3">
        <f t="shared" si="6"/>
        <v>1.1111111111111113E-3</v>
      </c>
      <c r="F33" s="3">
        <f t="shared" si="2"/>
        <v>1.1111111111111113E-3</v>
      </c>
      <c r="G33" s="3">
        <f t="shared" si="3"/>
        <v>1.2345679012345683E-6</v>
      </c>
    </row>
    <row r="34" spans="1:7" x14ac:dyDescent="0.3">
      <c r="A34" s="22"/>
      <c r="B34" s="3">
        <v>10</v>
      </c>
      <c r="C34" s="3">
        <v>0.01</v>
      </c>
      <c r="D34" s="3">
        <f t="shared" si="8"/>
        <v>8.8888888888888889E-3</v>
      </c>
      <c r="E34" s="3">
        <f t="shared" si="6"/>
        <v>1.1111111111111113E-3</v>
      </c>
      <c r="F34" s="3">
        <f t="shared" si="2"/>
        <v>1.1111111111111113E-3</v>
      </c>
      <c r="G34" s="3">
        <f t="shared" si="3"/>
        <v>1.2345679012345683E-6</v>
      </c>
    </row>
    <row r="35" spans="1:7" x14ac:dyDescent="0.3">
      <c r="A35" s="22"/>
      <c r="B35" s="3">
        <v>11</v>
      </c>
      <c r="C35" s="3">
        <v>0.01</v>
      </c>
      <c r="D35" s="3">
        <f t="shared" si="8"/>
        <v>8.8888888888888889E-3</v>
      </c>
      <c r="E35" s="3">
        <f t="shared" si="6"/>
        <v>1.1111111111111113E-3</v>
      </c>
      <c r="F35" s="3">
        <f t="shared" si="2"/>
        <v>1.1111111111111113E-3</v>
      </c>
      <c r="G35" s="3">
        <f t="shared" si="3"/>
        <v>1.2345679012345683E-6</v>
      </c>
    </row>
    <row r="36" spans="1:7" x14ac:dyDescent="0.3">
      <c r="A36" s="22"/>
      <c r="B36" s="3">
        <v>12</v>
      </c>
      <c r="C36" s="3">
        <v>0.01</v>
      </c>
      <c r="D36" s="3">
        <f t="shared" si="8"/>
        <v>8.8888888888888889E-3</v>
      </c>
      <c r="E36" s="3">
        <f t="shared" si="6"/>
        <v>1.1111111111111113E-3</v>
      </c>
      <c r="F36" s="3">
        <f t="shared" si="2"/>
        <v>1.1111111111111113E-3</v>
      </c>
      <c r="G36" s="3">
        <f t="shared" si="3"/>
        <v>1.2345679012345683E-6</v>
      </c>
    </row>
    <row r="37" spans="1:7" x14ac:dyDescent="0.3">
      <c r="A37" s="22"/>
      <c r="B37" s="3">
        <v>16</v>
      </c>
      <c r="C37" s="3">
        <v>0.01</v>
      </c>
      <c r="D37" s="3">
        <f t="shared" si="8"/>
        <v>8.8888888888888889E-3</v>
      </c>
      <c r="E37" s="3">
        <f t="shared" si="6"/>
        <v>1.1111111111111113E-3</v>
      </c>
      <c r="F37" s="3">
        <f t="shared" si="2"/>
        <v>1.1111111111111113E-3</v>
      </c>
      <c r="G37" s="3">
        <f t="shared" si="3"/>
        <v>1.2345679012345683E-6</v>
      </c>
    </row>
    <row r="38" spans="1:7" x14ac:dyDescent="0.3">
      <c r="A38" s="22"/>
      <c r="B38" s="3">
        <v>20</v>
      </c>
      <c r="C38" s="3">
        <v>0.01</v>
      </c>
      <c r="D38" s="3">
        <f t="shared" si="8"/>
        <v>8.8888888888888889E-3</v>
      </c>
      <c r="E38" s="3">
        <f t="shared" si="6"/>
        <v>1.1111111111111113E-3</v>
      </c>
      <c r="F38" s="3">
        <f t="shared" si="2"/>
        <v>1.1111111111111113E-3</v>
      </c>
      <c r="G38" s="3">
        <f t="shared" si="3"/>
        <v>1.2345679012345683E-6</v>
      </c>
    </row>
    <row r="39" spans="1:7" x14ac:dyDescent="0.3">
      <c r="A39" s="22"/>
      <c r="B39" s="3">
        <v>0</v>
      </c>
      <c r="C39" s="3">
        <v>0.01</v>
      </c>
      <c r="D39" s="3">
        <f t="shared" si="8"/>
        <v>8.8888888888888889E-3</v>
      </c>
      <c r="E39" s="3">
        <f t="shared" si="6"/>
        <v>1.1111111111111113E-3</v>
      </c>
      <c r="F39" s="3">
        <f t="shared" si="2"/>
        <v>1.1111111111111113E-3</v>
      </c>
      <c r="G39" s="3">
        <f t="shared" si="3"/>
        <v>1.2345679012345683E-6</v>
      </c>
    </row>
    <row r="40" spans="1:7" x14ac:dyDescent="0.3">
      <c r="A40" s="22"/>
      <c r="B40" s="3" t="s">
        <v>312</v>
      </c>
      <c r="C40" s="3">
        <v>0.01</v>
      </c>
      <c r="D40" s="3">
        <f t="shared" si="8"/>
        <v>8.8888888888888889E-3</v>
      </c>
      <c r="E40" s="3">
        <f t="shared" si="6"/>
        <v>1.1111111111111113E-3</v>
      </c>
      <c r="F40" s="3">
        <f t="shared" si="2"/>
        <v>1.1111111111111113E-3</v>
      </c>
      <c r="G40" s="3">
        <f t="shared" si="3"/>
        <v>1.2345679012345683E-6</v>
      </c>
    </row>
    <row r="41" spans="1:7" x14ac:dyDescent="0.3">
      <c r="A41" s="23"/>
      <c r="B41" s="3" t="s">
        <v>313</v>
      </c>
      <c r="C41" s="3">
        <v>0.01</v>
      </c>
      <c r="D41" s="3">
        <f t="shared" si="8"/>
        <v>8.8888888888888889E-3</v>
      </c>
      <c r="E41" s="3">
        <f t="shared" si="6"/>
        <v>1.1111111111111113E-3</v>
      </c>
      <c r="F41" s="3">
        <f t="shared" si="2"/>
        <v>1.1111111111111113E-3</v>
      </c>
      <c r="G41" s="3">
        <f t="shared" si="3"/>
        <v>1.2345679012345683E-6</v>
      </c>
    </row>
    <row r="42" spans="1:7" x14ac:dyDescent="0.3">
      <c r="A42" s="21" t="s">
        <v>310</v>
      </c>
      <c r="B42" s="3">
        <v>8</v>
      </c>
      <c r="C42" s="3">
        <v>0.01</v>
      </c>
      <c r="D42" s="3">
        <f>(SUM($C$42:$C$51)-C42)/(COUNT($C$42:$C$51)-1)</f>
        <v>5.5555555555555558E-3</v>
      </c>
      <c r="E42" s="3">
        <f t="shared" si="6"/>
        <v>4.4444444444444444E-3</v>
      </c>
      <c r="F42" s="3">
        <f t="shared" si="2"/>
        <v>4.4444444444444444E-3</v>
      </c>
      <c r="G42" s="3">
        <f t="shared" si="3"/>
        <v>1.9753086419753087E-5</v>
      </c>
    </row>
    <row r="43" spans="1:7" x14ac:dyDescent="0.3">
      <c r="A43" s="22"/>
      <c r="B43" s="3">
        <v>9</v>
      </c>
      <c r="C43" s="3">
        <v>0.01</v>
      </c>
      <c r="D43" s="3">
        <f t="shared" ref="D43:D51" si="9">(SUM($C$42:$C$51)-C43)/(COUNT($C$42:$C$51)-1)</f>
        <v>5.5555555555555558E-3</v>
      </c>
      <c r="E43" s="3">
        <f t="shared" si="6"/>
        <v>4.4444444444444444E-3</v>
      </c>
      <c r="F43" s="3">
        <f t="shared" si="2"/>
        <v>4.4444444444444444E-3</v>
      </c>
      <c r="G43" s="3">
        <f t="shared" si="3"/>
        <v>1.9753086419753087E-5</v>
      </c>
    </row>
    <row r="44" spans="1:7" x14ac:dyDescent="0.3">
      <c r="A44" s="22"/>
      <c r="B44" s="3">
        <v>10</v>
      </c>
      <c r="C44" s="3">
        <v>0</v>
      </c>
      <c r="D44" s="3">
        <f t="shared" si="9"/>
        <v>6.6666666666666671E-3</v>
      </c>
      <c r="E44" s="3">
        <f t="shared" si="6"/>
        <v>-6.6666666666666671E-3</v>
      </c>
      <c r="F44" s="3">
        <f t="shared" si="2"/>
        <v>6.6666666666666671E-3</v>
      </c>
      <c r="G44" s="3">
        <f t="shared" si="3"/>
        <v>4.4444444444444453E-5</v>
      </c>
    </row>
    <row r="45" spans="1:7" x14ac:dyDescent="0.3">
      <c r="A45" s="22"/>
      <c r="B45" s="3">
        <v>11</v>
      </c>
      <c r="C45" s="3">
        <v>0.01</v>
      </c>
      <c r="D45" s="3">
        <f t="shared" si="9"/>
        <v>5.5555555555555558E-3</v>
      </c>
      <c r="E45" s="3">
        <f t="shared" si="6"/>
        <v>4.4444444444444444E-3</v>
      </c>
      <c r="F45" s="3">
        <f t="shared" si="2"/>
        <v>4.4444444444444444E-3</v>
      </c>
      <c r="G45" s="3">
        <f t="shared" si="3"/>
        <v>1.9753086419753087E-5</v>
      </c>
    </row>
    <row r="46" spans="1:7" x14ac:dyDescent="0.3">
      <c r="A46" s="22"/>
      <c r="B46" s="3">
        <v>12</v>
      </c>
      <c r="C46" s="3">
        <v>0</v>
      </c>
      <c r="D46" s="3">
        <f t="shared" si="9"/>
        <v>6.6666666666666671E-3</v>
      </c>
      <c r="E46" s="3">
        <f t="shared" si="6"/>
        <v>-6.6666666666666671E-3</v>
      </c>
      <c r="F46" s="3">
        <f t="shared" si="2"/>
        <v>6.6666666666666671E-3</v>
      </c>
      <c r="G46" s="3">
        <f t="shared" si="3"/>
        <v>4.4444444444444453E-5</v>
      </c>
    </row>
    <row r="47" spans="1:7" x14ac:dyDescent="0.3">
      <c r="A47" s="22"/>
      <c r="B47" s="3">
        <v>16</v>
      </c>
      <c r="C47" s="3">
        <v>0.01</v>
      </c>
      <c r="D47" s="3">
        <f t="shared" si="9"/>
        <v>5.5555555555555558E-3</v>
      </c>
      <c r="E47" s="3">
        <f t="shared" si="6"/>
        <v>4.4444444444444444E-3</v>
      </c>
      <c r="F47" s="3">
        <f t="shared" si="2"/>
        <v>4.4444444444444444E-3</v>
      </c>
      <c r="G47" s="3">
        <f t="shared" si="3"/>
        <v>1.9753086419753087E-5</v>
      </c>
    </row>
    <row r="48" spans="1:7" x14ac:dyDescent="0.3">
      <c r="A48" s="22"/>
      <c r="B48" s="3">
        <v>20</v>
      </c>
      <c r="C48" s="3">
        <v>0.01</v>
      </c>
      <c r="D48" s="3">
        <f t="shared" si="9"/>
        <v>5.5555555555555558E-3</v>
      </c>
      <c r="E48" s="3">
        <f t="shared" si="6"/>
        <v>4.4444444444444444E-3</v>
      </c>
      <c r="F48" s="3">
        <f t="shared" si="2"/>
        <v>4.4444444444444444E-3</v>
      </c>
      <c r="G48" s="3">
        <f t="shared" si="3"/>
        <v>1.9753086419753087E-5</v>
      </c>
    </row>
    <row r="49" spans="1:7" x14ac:dyDescent="0.3">
      <c r="A49" s="22"/>
      <c r="B49" s="3">
        <v>0</v>
      </c>
      <c r="C49" s="3">
        <v>0</v>
      </c>
      <c r="D49" s="3">
        <f t="shared" si="9"/>
        <v>6.6666666666666671E-3</v>
      </c>
      <c r="E49" s="3">
        <f t="shared" si="6"/>
        <v>-6.6666666666666671E-3</v>
      </c>
      <c r="F49" s="3">
        <f t="shared" si="2"/>
        <v>6.6666666666666671E-3</v>
      </c>
      <c r="G49" s="3">
        <f t="shared" si="3"/>
        <v>4.4444444444444453E-5</v>
      </c>
    </row>
    <row r="50" spans="1:7" x14ac:dyDescent="0.3">
      <c r="A50" s="22"/>
      <c r="B50" s="3" t="s">
        <v>312</v>
      </c>
      <c r="C50" s="3">
        <v>0</v>
      </c>
      <c r="D50" s="3">
        <f t="shared" si="9"/>
        <v>6.6666666666666671E-3</v>
      </c>
      <c r="E50" s="3">
        <f t="shared" si="6"/>
        <v>-6.6666666666666671E-3</v>
      </c>
      <c r="F50" s="3">
        <f t="shared" si="2"/>
        <v>6.6666666666666671E-3</v>
      </c>
      <c r="G50" s="3">
        <f t="shared" si="3"/>
        <v>4.4444444444444453E-5</v>
      </c>
    </row>
    <row r="51" spans="1:7" x14ac:dyDescent="0.3">
      <c r="A51" s="23"/>
      <c r="B51" s="3" t="s">
        <v>313</v>
      </c>
      <c r="C51" s="3">
        <v>0.01</v>
      </c>
      <c r="D51" s="3">
        <f t="shared" si="9"/>
        <v>5.5555555555555558E-3</v>
      </c>
      <c r="E51" s="3">
        <f t="shared" si="6"/>
        <v>4.4444444444444444E-3</v>
      </c>
      <c r="F51" s="3">
        <f t="shared" si="2"/>
        <v>4.4444444444444444E-3</v>
      </c>
      <c r="G51" s="3">
        <f t="shared" si="3"/>
        <v>1.9753086419753087E-5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F628-D67B-4777-A28E-A1D356D7616B}">
  <dimension ref="A1:O51"/>
  <sheetViews>
    <sheetView workbookViewId="0">
      <pane ySplit="1" topLeftCell="A2" activePane="bottomLeft" state="frozen"/>
      <selection pane="bottomLeft" activeCell="O15" sqref="O15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301</v>
      </c>
      <c r="D1" s="10" t="s">
        <v>332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0</v>
      </c>
      <c r="D2" s="3">
        <f>(SUM($C$2:$C$11)-C2)/(COUNT($C$2:$C$11)-1)</f>
        <v>2.2222222222222222E-3</v>
      </c>
      <c r="E2" s="3">
        <f>C2-D2</f>
        <v>-2.2222222222222222E-3</v>
      </c>
      <c r="F2" s="3">
        <f>ABS(E2)</f>
        <v>2.2222222222222222E-3</v>
      </c>
      <c r="G2" s="3">
        <f>E2^2</f>
        <v>4.9382716049382717E-6</v>
      </c>
    </row>
    <row r="3" spans="1:15" x14ac:dyDescent="0.3">
      <c r="A3" s="22"/>
      <c r="B3" s="3">
        <v>9</v>
      </c>
      <c r="C3" s="3">
        <v>0</v>
      </c>
      <c r="D3" s="3">
        <f t="shared" ref="D3:D11" si="0">(SUM($C$2:$C$11)-C3)/(COUNT($C$2:$C$11)-1)</f>
        <v>2.2222222222222222E-3</v>
      </c>
      <c r="E3" s="3">
        <f t="shared" ref="E3:E11" si="1">C3-D3</f>
        <v>-2.2222222222222222E-3</v>
      </c>
      <c r="F3" s="3">
        <f t="shared" ref="F3:F51" si="2">ABS(E3)</f>
        <v>2.2222222222222222E-3</v>
      </c>
      <c r="G3" s="3">
        <f t="shared" ref="G3:G51" si="3">E3^2</f>
        <v>4.9382716049382717E-6</v>
      </c>
    </row>
    <row r="4" spans="1:15" x14ac:dyDescent="0.3">
      <c r="A4" s="22"/>
      <c r="B4" s="3">
        <v>10</v>
      </c>
      <c r="C4" s="3">
        <v>0</v>
      </c>
      <c r="D4" s="3">
        <f t="shared" si="0"/>
        <v>2.2222222222222222E-3</v>
      </c>
      <c r="E4" s="3">
        <f t="shared" si="1"/>
        <v>-2.2222222222222222E-3</v>
      </c>
      <c r="F4" s="3">
        <f t="shared" si="2"/>
        <v>2.2222222222222222E-3</v>
      </c>
      <c r="G4" s="3">
        <f t="shared" si="3"/>
        <v>4.9382716049382717E-6</v>
      </c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0.02</v>
      </c>
      <c r="D5" s="3">
        <f t="shared" si="0"/>
        <v>0</v>
      </c>
      <c r="E5" s="3">
        <f t="shared" si="1"/>
        <v>0.02</v>
      </c>
      <c r="F5" s="3">
        <f t="shared" si="2"/>
        <v>0.02</v>
      </c>
      <c r="G5" s="3">
        <f t="shared" si="3"/>
        <v>4.0000000000000002E-4</v>
      </c>
      <c r="J5" s="2" t="s">
        <v>297</v>
      </c>
      <c r="K5" s="3">
        <f>AVERAGE(E6:E11)</f>
        <v>-2.2222222222222222E-3</v>
      </c>
      <c r="L5" s="3">
        <f>AVERAGE(F6:F11)</f>
        <v>2.2222222222222222E-3</v>
      </c>
      <c r="M5" s="3">
        <f>AVERAGE(G6:G11)</f>
        <v>4.9382716049382725E-6</v>
      </c>
      <c r="N5" s="3">
        <f>SQRT(M5)</f>
        <v>2.2222222222222222E-3</v>
      </c>
      <c r="O5" s="3" t="e">
        <f>N5/AVERAGE(C6:C11)*100</f>
        <v>#DIV/0!</v>
      </c>
    </row>
    <row r="6" spans="1:15" x14ac:dyDescent="0.3">
      <c r="A6" s="22"/>
      <c r="B6" s="3">
        <v>12</v>
      </c>
      <c r="C6" s="3">
        <v>0</v>
      </c>
      <c r="D6" s="3">
        <f t="shared" si="0"/>
        <v>2.2222222222222222E-3</v>
      </c>
      <c r="E6" s="3">
        <f t="shared" si="1"/>
        <v>-2.2222222222222222E-3</v>
      </c>
      <c r="F6" s="3">
        <f t="shared" si="2"/>
        <v>2.2222222222222222E-3</v>
      </c>
      <c r="G6" s="3">
        <f t="shared" si="3"/>
        <v>4.9382716049382717E-6</v>
      </c>
      <c r="J6" s="2">
        <v>33</v>
      </c>
      <c r="K6" s="3">
        <f>AVERAGE(E16:E21)</f>
        <v>-6.666666666666668E-3</v>
      </c>
      <c r="L6" s="3">
        <f>AVERAGE(F16:F21)</f>
        <v>2.2962962962962963E-2</v>
      </c>
      <c r="M6" s="3">
        <f>AVERAGE(G16:G21)</f>
        <v>6.6172839506172844E-4</v>
      </c>
      <c r="N6" s="3">
        <f t="shared" ref="N6:N9" si="4">SQRT(M6)</f>
        <v>2.5724082006200501E-2</v>
      </c>
      <c r="O6" s="3">
        <f>N6/AVERAGE(C16:C21)*100</f>
        <v>257.24082006200501</v>
      </c>
    </row>
    <row r="7" spans="1:15" x14ac:dyDescent="0.3">
      <c r="A7" s="22"/>
      <c r="B7" s="3">
        <v>16</v>
      </c>
      <c r="C7" s="3">
        <v>0</v>
      </c>
      <c r="D7" s="3">
        <f t="shared" si="0"/>
        <v>2.2222222222222222E-3</v>
      </c>
      <c r="E7" s="3">
        <f t="shared" si="1"/>
        <v>-2.2222222222222222E-3</v>
      </c>
      <c r="F7" s="3">
        <f t="shared" si="2"/>
        <v>2.2222222222222222E-3</v>
      </c>
      <c r="G7" s="3">
        <f t="shared" si="3"/>
        <v>4.9382716049382717E-6</v>
      </c>
      <c r="J7" s="2">
        <v>46</v>
      </c>
      <c r="K7" s="3">
        <f>AVERAGE(E26:E31)</f>
        <v>-0.02</v>
      </c>
      <c r="L7" s="3">
        <f>AVERAGE(F26:F31)</f>
        <v>2.2592592592592595E-2</v>
      </c>
      <c r="M7" s="3">
        <f>AVERAGE(G26:G31)</f>
        <v>5.5432098765432092E-4</v>
      </c>
      <c r="N7" s="3">
        <f t="shared" si="4"/>
        <v>2.3544022333796766E-2</v>
      </c>
      <c r="O7" s="3">
        <f>N7/AVERAGE(C26:C31)*100</f>
        <v>470.88044667593527</v>
      </c>
    </row>
    <row r="8" spans="1:15" x14ac:dyDescent="0.3">
      <c r="A8" s="22"/>
      <c r="B8" s="3">
        <v>20</v>
      </c>
      <c r="C8" s="3">
        <v>0</v>
      </c>
      <c r="D8" s="3">
        <f t="shared" si="0"/>
        <v>2.2222222222222222E-3</v>
      </c>
      <c r="E8" s="3">
        <f t="shared" si="1"/>
        <v>-2.2222222222222222E-3</v>
      </c>
      <c r="F8" s="3">
        <f t="shared" si="2"/>
        <v>2.2222222222222222E-3</v>
      </c>
      <c r="G8" s="3">
        <f t="shared" si="3"/>
        <v>4.9382716049382717E-6</v>
      </c>
      <c r="J8" s="2" t="s">
        <v>309</v>
      </c>
      <c r="K8" s="3">
        <f>AVERAGE(E36:E41)</f>
        <v>-6.3333333333333339E-2</v>
      </c>
      <c r="L8" s="3">
        <f>AVERAGE(F36:F41)</f>
        <v>6.3333333333333339E-2</v>
      </c>
      <c r="M8" s="3">
        <f>AVERAGE(G36:G41)</f>
        <v>4.2065843621399189E-3</v>
      </c>
      <c r="N8" s="3">
        <f t="shared" si="4"/>
        <v>6.485818654680317E-2</v>
      </c>
      <c r="O8" s="3">
        <f>N8/AVERAGE(C36:C41)*100</f>
        <v>432.38791031202118</v>
      </c>
    </row>
    <row r="9" spans="1:15" x14ac:dyDescent="0.3">
      <c r="A9" s="22"/>
      <c r="B9" s="3">
        <v>0</v>
      </c>
      <c r="C9" s="3">
        <v>0</v>
      </c>
      <c r="D9" s="3">
        <f t="shared" si="0"/>
        <v>2.2222222222222222E-3</v>
      </c>
      <c r="E9" s="3">
        <f t="shared" si="1"/>
        <v>-2.2222222222222222E-3</v>
      </c>
      <c r="F9" s="3">
        <f t="shared" si="2"/>
        <v>2.2222222222222222E-3</v>
      </c>
      <c r="G9" s="3">
        <f t="shared" si="3"/>
        <v>4.9382716049382717E-6</v>
      </c>
      <c r="J9" s="2" t="s">
        <v>310</v>
      </c>
      <c r="K9" s="3">
        <f>AVERAGE(E46:E51)</f>
        <v>2.9629629629629611E-3</v>
      </c>
      <c r="L9" s="3">
        <f>AVERAGE(F46:F51)</f>
        <v>2.3703703703703703E-2</v>
      </c>
      <c r="M9" s="3">
        <f>AVERAGE(G46:G51)</f>
        <v>8.5925925925925926E-4</v>
      </c>
      <c r="N9" s="3">
        <f t="shared" si="4"/>
        <v>2.9313124351717599E-2</v>
      </c>
      <c r="O9" s="3">
        <f>N9/AVERAGE(C46:C51)*100</f>
        <v>175.8787461103056</v>
      </c>
    </row>
    <row r="10" spans="1:15" x14ac:dyDescent="0.3">
      <c r="A10" s="22"/>
      <c r="B10" s="3" t="s">
        <v>312</v>
      </c>
      <c r="C10" s="3">
        <v>0</v>
      </c>
      <c r="D10" s="3">
        <f t="shared" si="0"/>
        <v>2.2222222222222222E-3</v>
      </c>
      <c r="E10" s="3">
        <f t="shared" si="1"/>
        <v>-2.2222222222222222E-3</v>
      </c>
      <c r="F10" s="3">
        <f t="shared" si="2"/>
        <v>2.2222222222222222E-3</v>
      </c>
      <c r="G10" s="3">
        <f t="shared" si="3"/>
        <v>4.9382716049382717E-6</v>
      </c>
    </row>
    <row r="11" spans="1:15" x14ac:dyDescent="0.3">
      <c r="A11" s="23"/>
      <c r="B11" s="3" t="s">
        <v>313</v>
      </c>
      <c r="C11" s="3">
        <v>0</v>
      </c>
      <c r="D11" s="3">
        <f t="shared" si="0"/>
        <v>2.2222222222222222E-3</v>
      </c>
      <c r="E11" s="3">
        <f t="shared" si="1"/>
        <v>-2.2222222222222222E-3</v>
      </c>
      <c r="F11" s="3">
        <f t="shared" si="2"/>
        <v>2.2222222222222222E-3</v>
      </c>
      <c r="G11" s="3">
        <f t="shared" si="3"/>
        <v>4.9382716049382717E-6</v>
      </c>
    </row>
    <row r="12" spans="1:15" x14ac:dyDescent="0.3">
      <c r="A12" s="21">
        <v>33</v>
      </c>
      <c r="B12" s="9">
        <v>8</v>
      </c>
      <c r="C12" s="3">
        <v>0</v>
      </c>
      <c r="D12" s="3">
        <f>(SUM($C$12:$C$21)-C12)/(COUNT($C$12:$C$21)-1)</f>
        <v>1.7777777777777778E-2</v>
      </c>
      <c r="E12" s="3">
        <f>C12-D12</f>
        <v>-1.7777777777777778E-2</v>
      </c>
      <c r="F12" s="3">
        <f t="shared" si="2"/>
        <v>1.7777777777777778E-2</v>
      </c>
      <c r="G12" s="3">
        <f t="shared" si="3"/>
        <v>3.1604938271604939E-4</v>
      </c>
      <c r="K12" s="4"/>
      <c r="L12" s="4"/>
      <c r="M12" s="4"/>
      <c r="N12" s="4"/>
    </row>
    <row r="13" spans="1:15" x14ac:dyDescent="0.3">
      <c r="A13" s="22"/>
      <c r="B13" s="3">
        <v>9</v>
      </c>
      <c r="C13" s="3">
        <v>0</v>
      </c>
      <c r="D13" s="3">
        <f t="shared" ref="D13:D21" si="5">(SUM($C$12:$C$21)-C13)/(COUNT($C$12:$C$21)-1)</f>
        <v>1.7777777777777778E-2</v>
      </c>
      <c r="E13" s="3">
        <f t="shared" ref="E13:E51" si="6">C13-D13</f>
        <v>-1.7777777777777778E-2</v>
      </c>
      <c r="F13" s="3">
        <f t="shared" si="2"/>
        <v>1.7777777777777778E-2</v>
      </c>
      <c r="G13" s="3">
        <f t="shared" si="3"/>
        <v>3.1604938271604939E-4</v>
      </c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0.02</v>
      </c>
      <c r="D14" s="3">
        <f t="shared" si="5"/>
        <v>1.5555555555555557E-2</v>
      </c>
      <c r="E14" s="3">
        <f t="shared" si="6"/>
        <v>4.4444444444444436E-3</v>
      </c>
      <c r="F14" s="3">
        <f t="shared" si="2"/>
        <v>4.4444444444444436E-3</v>
      </c>
      <c r="G14" s="3">
        <f t="shared" si="3"/>
        <v>1.975308641975308E-5</v>
      </c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0.08</v>
      </c>
      <c r="D15" s="3">
        <f t="shared" si="5"/>
        <v>8.8888888888888889E-3</v>
      </c>
      <c r="E15" s="3">
        <f t="shared" si="6"/>
        <v>7.1111111111111111E-2</v>
      </c>
      <c r="F15" s="3">
        <f t="shared" si="2"/>
        <v>7.1111111111111111E-2</v>
      </c>
      <c r="G15" s="3">
        <f t="shared" si="3"/>
        <v>5.0567901234567902E-3</v>
      </c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0.06</v>
      </c>
      <c r="D16" s="3">
        <f t="shared" si="5"/>
        <v>1.1111111111111112E-2</v>
      </c>
      <c r="E16" s="3">
        <f t="shared" si="6"/>
        <v>4.8888888888888885E-2</v>
      </c>
      <c r="F16" s="3">
        <f t="shared" si="2"/>
        <v>4.8888888888888885E-2</v>
      </c>
      <c r="G16" s="3">
        <f t="shared" si="3"/>
        <v>2.3901234567901232E-3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</v>
      </c>
      <c r="D17" s="3">
        <f t="shared" si="5"/>
        <v>1.7777777777777778E-2</v>
      </c>
      <c r="E17" s="3">
        <f t="shared" si="6"/>
        <v>-1.7777777777777778E-2</v>
      </c>
      <c r="F17" s="3">
        <f t="shared" si="2"/>
        <v>1.7777777777777778E-2</v>
      </c>
      <c r="G17" s="3">
        <f t="shared" si="3"/>
        <v>3.1604938271604939E-4</v>
      </c>
    </row>
    <row r="18" spans="1:7" x14ac:dyDescent="0.3">
      <c r="A18" s="22"/>
      <c r="B18" s="3">
        <v>20</v>
      </c>
      <c r="C18" s="3">
        <v>0</v>
      </c>
      <c r="D18" s="3">
        <f t="shared" si="5"/>
        <v>1.7777777777777778E-2</v>
      </c>
      <c r="E18" s="3">
        <f t="shared" si="6"/>
        <v>-1.7777777777777778E-2</v>
      </c>
      <c r="F18" s="3">
        <f t="shared" si="2"/>
        <v>1.7777777777777778E-2</v>
      </c>
      <c r="G18" s="3">
        <f t="shared" si="3"/>
        <v>3.1604938271604939E-4</v>
      </c>
    </row>
    <row r="19" spans="1:7" x14ac:dyDescent="0.3">
      <c r="A19" s="22"/>
      <c r="B19" s="3">
        <v>0</v>
      </c>
      <c r="C19" s="3">
        <v>0</v>
      </c>
      <c r="D19" s="3">
        <f t="shared" si="5"/>
        <v>1.7777777777777778E-2</v>
      </c>
      <c r="E19" s="3">
        <f t="shared" si="6"/>
        <v>-1.7777777777777778E-2</v>
      </c>
      <c r="F19" s="3">
        <f t="shared" si="2"/>
        <v>1.7777777777777778E-2</v>
      </c>
      <c r="G19" s="3">
        <f t="shared" si="3"/>
        <v>3.1604938271604939E-4</v>
      </c>
    </row>
    <row r="20" spans="1:7" x14ac:dyDescent="0.3">
      <c r="A20" s="22"/>
      <c r="B20" s="3" t="s">
        <v>312</v>
      </c>
      <c r="C20" s="3">
        <v>0</v>
      </c>
      <c r="D20" s="3">
        <f t="shared" si="5"/>
        <v>1.7777777777777778E-2</v>
      </c>
      <c r="E20" s="3">
        <f t="shared" si="6"/>
        <v>-1.7777777777777778E-2</v>
      </c>
      <c r="F20" s="3">
        <f t="shared" si="2"/>
        <v>1.7777777777777778E-2</v>
      </c>
      <c r="G20" s="3">
        <f t="shared" si="3"/>
        <v>3.1604938271604939E-4</v>
      </c>
    </row>
    <row r="21" spans="1:7" x14ac:dyDescent="0.3">
      <c r="A21" s="23"/>
      <c r="B21" s="3" t="s">
        <v>313</v>
      </c>
      <c r="C21" s="3">
        <v>0</v>
      </c>
      <c r="D21" s="3">
        <f t="shared" si="5"/>
        <v>1.7777777777777778E-2</v>
      </c>
      <c r="E21" s="3">
        <f t="shared" si="6"/>
        <v>-1.7777777777777778E-2</v>
      </c>
      <c r="F21" s="3">
        <f t="shared" si="2"/>
        <v>1.7777777777777778E-2</v>
      </c>
      <c r="G21" s="3">
        <f t="shared" si="3"/>
        <v>3.1604938271604939E-4</v>
      </c>
    </row>
    <row r="22" spans="1:7" x14ac:dyDescent="0.3">
      <c r="A22" s="21">
        <v>46</v>
      </c>
      <c r="B22" s="9">
        <v>8</v>
      </c>
      <c r="C22" s="3">
        <v>0.1</v>
      </c>
      <c r="D22" s="3">
        <f>(SUM($C$22:$C$31)-C22)/(COUNT($C$22:$C$31)-1)</f>
        <v>1.4444444444444446E-2</v>
      </c>
      <c r="E22" s="3">
        <f t="shared" si="6"/>
        <v>8.5555555555555565E-2</v>
      </c>
      <c r="F22" s="3">
        <f t="shared" si="2"/>
        <v>8.5555555555555565E-2</v>
      </c>
      <c r="G22" s="3">
        <f t="shared" si="3"/>
        <v>7.3197530864197551E-3</v>
      </c>
    </row>
    <row r="23" spans="1:7" x14ac:dyDescent="0.3">
      <c r="A23" s="22"/>
      <c r="B23" s="3">
        <v>9</v>
      </c>
      <c r="C23" s="3">
        <v>0</v>
      </c>
      <c r="D23" s="3">
        <f t="shared" ref="D23:D31" si="7">(SUM($C$22:$C$31)-C23)/(COUNT($C$22:$C$31)-1)</f>
        <v>2.5555555555555557E-2</v>
      </c>
      <c r="E23" s="3">
        <f t="shared" si="6"/>
        <v>-2.5555555555555557E-2</v>
      </c>
      <c r="F23" s="3">
        <f t="shared" si="2"/>
        <v>2.5555555555555557E-2</v>
      </c>
      <c r="G23" s="3">
        <f t="shared" si="3"/>
        <v>6.5308641975308644E-4</v>
      </c>
    </row>
    <row r="24" spans="1:7" x14ac:dyDescent="0.3">
      <c r="A24" s="22"/>
      <c r="B24" s="3">
        <v>10</v>
      </c>
      <c r="C24" s="3">
        <v>0</v>
      </c>
      <c r="D24" s="3">
        <f t="shared" si="7"/>
        <v>2.5555555555555557E-2</v>
      </c>
      <c r="E24" s="3">
        <f t="shared" si="6"/>
        <v>-2.5555555555555557E-2</v>
      </c>
      <c r="F24" s="3">
        <f t="shared" si="2"/>
        <v>2.5555555555555557E-2</v>
      </c>
      <c r="G24" s="3">
        <f t="shared" si="3"/>
        <v>6.5308641975308644E-4</v>
      </c>
    </row>
    <row r="25" spans="1:7" x14ac:dyDescent="0.3">
      <c r="A25" s="22"/>
      <c r="B25" s="3">
        <v>11</v>
      </c>
      <c r="C25" s="3">
        <v>0.1</v>
      </c>
      <c r="D25" s="3">
        <f t="shared" si="7"/>
        <v>1.4444444444444446E-2</v>
      </c>
      <c r="E25" s="3">
        <f t="shared" si="6"/>
        <v>8.5555555555555565E-2</v>
      </c>
      <c r="F25" s="3">
        <f t="shared" si="2"/>
        <v>8.5555555555555565E-2</v>
      </c>
      <c r="G25" s="3">
        <f t="shared" si="3"/>
        <v>7.3197530864197551E-3</v>
      </c>
    </row>
    <row r="26" spans="1:7" x14ac:dyDescent="0.3">
      <c r="A26" s="22"/>
      <c r="B26" s="3">
        <v>12</v>
      </c>
      <c r="C26" s="3">
        <v>0</v>
      </c>
      <c r="D26" s="3">
        <f t="shared" si="7"/>
        <v>2.5555555555555557E-2</v>
      </c>
      <c r="E26" s="3">
        <f t="shared" si="6"/>
        <v>-2.5555555555555557E-2</v>
      </c>
      <c r="F26" s="3">
        <f t="shared" si="2"/>
        <v>2.5555555555555557E-2</v>
      </c>
      <c r="G26" s="3">
        <f t="shared" si="3"/>
        <v>6.5308641975308644E-4</v>
      </c>
    </row>
    <row r="27" spans="1:7" x14ac:dyDescent="0.3">
      <c r="A27" s="22"/>
      <c r="B27" s="3">
        <v>16</v>
      </c>
      <c r="C27" s="3">
        <v>0.03</v>
      </c>
      <c r="D27" s="3">
        <f t="shared" si="7"/>
        <v>2.2222222222222223E-2</v>
      </c>
      <c r="E27" s="3">
        <f t="shared" si="6"/>
        <v>7.7777777777777758E-3</v>
      </c>
      <c r="F27" s="3">
        <f t="shared" si="2"/>
        <v>7.7777777777777758E-3</v>
      </c>
      <c r="G27" s="3">
        <f t="shared" si="3"/>
        <v>6.0493827160493798E-5</v>
      </c>
    </row>
    <row r="28" spans="1:7" x14ac:dyDescent="0.3">
      <c r="A28" s="22"/>
      <c r="B28" s="3">
        <v>20</v>
      </c>
      <c r="C28" s="3">
        <v>0</v>
      </c>
      <c r="D28" s="3">
        <f t="shared" si="7"/>
        <v>2.5555555555555557E-2</v>
      </c>
      <c r="E28" s="3">
        <f t="shared" si="6"/>
        <v>-2.5555555555555557E-2</v>
      </c>
      <c r="F28" s="3">
        <f t="shared" si="2"/>
        <v>2.5555555555555557E-2</v>
      </c>
      <c r="G28" s="3">
        <f t="shared" si="3"/>
        <v>6.5308641975308644E-4</v>
      </c>
    </row>
    <row r="29" spans="1:7" x14ac:dyDescent="0.3">
      <c r="A29" s="22"/>
      <c r="B29" s="3">
        <v>0</v>
      </c>
      <c r="C29" s="3">
        <v>0</v>
      </c>
      <c r="D29" s="3">
        <f t="shared" si="7"/>
        <v>2.5555555555555557E-2</v>
      </c>
      <c r="E29" s="3">
        <f t="shared" si="6"/>
        <v>-2.5555555555555557E-2</v>
      </c>
      <c r="F29" s="3">
        <f t="shared" si="2"/>
        <v>2.5555555555555557E-2</v>
      </c>
      <c r="G29" s="3">
        <f t="shared" si="3"/>
        <v>6.5308641975308644E-4</v>
      </c>
    </row>
    <row r="30" spans="1:7" x14ac:dyDescent="0.3">
      <c r="A30" s="22"/>
      <c r="B30" s="3" t="s">
        <v>312</v>
      </c>
      <c r="C30" s="3">
        <v>0</v>
      </c>
      <c r="D30" s="3">
        <f t="shared" si="7"/>
        <v>2.5555555555555557E-2</v>
      </c>
      <c r="E30" s="3">
        <f t="shared" si="6"/>
        <v>-2.5555555555555557E-2</v>
      </c>
      <c r="F30" s="3">
        <f t="shared" si="2"/>
        <v>2.5555555555555557E-2</v>
      </c>
      <c r="G30" s="3">
        <f t="shared" si="3"/>
        <v>6.5308641975308644E-4</v>
      </c>
    </row>
    <row r="31" spans="1:7" x14ac:dyDescent="0.3">
      <c r="A31" s="23"/>
      <c r="B31" s="3" t="s">
        <v>313</v>
      </c>
      <c r="C31" s="3">
        <v>0</v>
      </c>
      <c r="D31" s="3">
        <f t="shared" si="7"/>
        <v>2.5555555555555557E-2</v>
      </c>
      <c r="E31" s="3">
        <f t="shared" si="6"/>
        <v>-2.5555555555555557E-2</v>
      </c>
      <c r="F31" s="3">
        <f t="shared" si="2"/>
        <v>2.5555555555555557E-2</v>
      </c>
      <c r="G31" s="3">
        <f t="shared" si="3"/>
        <v>6.5308641975308644E-4</v>
      </c>
    </row>
    <row r="32" spans="1:7" x14ac:dyDescent="0.3">
      <c r="A32" s="21" t="s">
        <v>309</v>
      </c>
      <c r="B32" s="3">
        <v>8</v>
      </c>
      <c r="C32" s="3">
        <v>0.47</v>
      </c>
      <c r="D32" s="3">
        <f>(SUM($C$32:$C$41)-C32)/(COUNT($C$32:$C$41)-1)</f>
        <v>2.777777777777779E-2</v>
      </c>
      <c r="E32" s="3">
        <f t="shared" si="6"/>
        <v>0.44222222222222218</v>
      </c>
      <c r="F32" s="3">
        <f t="shared" si="2"/>
        <v>0.44222222222222218</v>
      </c>
      <c r="G32" s="3">
        <f t="shared" si="3"/>
        <v>0.19556049382716045</v>
      </c>
    </row>
    <row r="33" spans="1:7" x14ac:dyDescent="0.3">
      <c r="A33" s="22"/>
      <c r="B33" s="3">
        <v>9</v>
      </c>
      <c r="C33" s="3">
        <v>0.01</v>
      </c>
      <c r="D33" s="3">
        <f t="shared" ref="D33:D41" si="8">(SUM($C$32:$C$41)-C33)/(COUNT($C$32:$C$41)-1)</f>
        <v>7.8888888888888897E-2</v>
      </c>
      <c r="E33" s="3">
        <f t="shared" si="6"/>
        <v>-6.8888888888888902E-2</v>
      </c>
      <c r="F33" s="3">
        <f t="shared" si="2"/>
        <v>6.8888888888888902E-2</v>
      </c>
      <c r="G33" s="3">
        <f t="shared" si="3"/>
        <v>4.7456790123456809E-3</v>
      </c>
    </row>
    <row r="34" spans="1:7" x14ac:dyDescent="0.3">
      <c r="A34" s="22"/>
      <c r="B34" s="3">
        <v>10</v>
      </c>
      <c r="C34" s="3">
        <v>0.13</v>
      </c>
      <c r="D34" s="3">
        <f t="shared" si="8"/>
        <v>6.5555555555555561E-2</v>
      </c>
      <c r="E34" s="3">
        <f t="shared" si="6"/>
        <v>6.4444444444444443E-2</v>
      </c>
      <c r="F34" s="3">
        <f t="shared" si="2"/>
        <v>6.4444444444444443E-2</v>
      </c>
      <c r="G34" s="3">
        <f t="shared" si="3"/>
        <v>4.1530864197530859E-3</v>
      </c>
    </row>
    <row r="35" spans="1:7" x14ac:dyDescent="0.3">
      <c r="A35" s="22"/>
      <c r="B35" s="3">
        <v>11</v>
      </c>
      <c r="C35" s="3">
        <v>0.02</v>
      </c>
      <c r="D35" s="3">
        <f t="shared" si="8"/>
        <v>7.7777777777777779E-2</v>
      </c>
      <c r="E35" s="3">
        <f t="shared" si="6"/>
        <v>-5.7777777777777775E-2</v>
      </c>
      <c r="F35" s="3">
        <f t="shared" si="2"/>
        <v>5.7777777777777775E-2</v>
      </c>
      <c r="G35" s="3">
        <f t="shared" si="3"/>
        <v>3.3382716049382712E-3</v>
      </c>
    </row>
    <row r="36" spans="1:7" x14ac:dyDescent="0.3">
      <c r="A36" s="22"/>
      <c r="B36" s="3">
        <v>12</v>
      </c>
      <c r="C36" s="3">
        <v>0.01</v>
      </c>
      <c r="D36" s="3">
        <f t="shared" si="8"/>
        <v>7.8888888888888897E-2</v>
      </c>
      <c r="E36" s="3">
        <f t="shared" si="6"/>
        <v>-6.8888888888888902E-2</v>
      </c>
      <c r="F36" s="3">
        <f t="shared" si="2"/>
        <v>6.8888888888888902E-2</v>
      </c>
      <c r="G36" s="3">
        <f t="shared" si="3"/>
        <v>4.7456790123456809E-3</v>
      </c>
    </row>
    <row r="37" spans="1:7" x14ac:dyDescent="0.3">
      <c r="A37" s="22"/>
      <c r="B37" s="3">
        <v>16</v>
      </c>
      <c r="C37" s="3">
        <v>0.02</v>
      </c>
      <c r="D37" s="3">
        <f t="shared" si="8"/>
        <v>7.7777777777777779E-2</v>
      </c>
      <c r="E37" s="3">
        <f t="shared" si="6"/>
        <v>-5.7777777777777775E-2</v>
      </c>
      <c r="F37" s="3">
        <f t="shared" si="2"/>
        <v>5.7777777777777775E-2</v>
      </c>
      <c r="G37" s="3">
        <f t="shared" si="3"/>
        <v>3.3382716049382712E-3</v>
      </c>
    </row>
    <row r="38" spans="1:7" x14ac:dyDescent="0.3">
      <c r="A38" s="22"/>
      <c r="B38" s="3">
        <v>20</v>
      </c>
      <c r="C38" s="3">
        <v>0.03</v>
      </c>
      <c r="D38" s="3">
        <f t="shared" si="8"/>
        <v>7.6666666666666675E-2</v>
      </c>
      <c r="E38" s="3">
        <f t="shared" si="6"/>
        <v>-4.6666666666666676E-2</v>
      </c>
      <c r="F38" s="3">
        <f t="shared" si="2"/>
        <v>4.6666666666666676E-2</v>
      </c>
      <c r="G38" s="3">
        <f t="shared" si="3"/>
        <v>2.1777777777777785E-3</v>
      </c>
    </row>
    <row r="39" spans="1:7" x14ac:dyDescent="0.3">
      <c r="A39" s="22"/>
      <c r="B39" s="3">
        <v>0</v>
      </c>
      <c r="C39" s="3">
        <v>0.03</v>
      </c>
      <c r="D39" s="3">
        <f t="shared" si="8"/>
        <v>7.6666666666666675E-2</v>
      </c>
      <c r="E39" s="3">
        <f t="shared" si="6"/>
        <v>-4.6666666666666676E-2</v>
      </c>
      <c r="F39" s="3">
        <f t="shared" si="2"/>
        <v>4.6666666666666676E-2</v>
      </c>
      <c r="G39" s="3">
        <f t="shared" si="3"/>
        <v>2.1777777777777785E-3</v>
      </c>
    </row>
    <row r="40" spans="1:7" x14ac:dyDescent="0.3">
      <c r="A40" s="22"/>
      <c r="B40" s="3" t="s">
        <v>312</v>
      </c>
      <c r="C40" s="3">
        <v>0</v>
      </c>
      <c r="D40" s="3">
        <f t="shared" si="8"/>
        <v>8.0000000000000016E-2</v>
      </c>
      <c r="E40" s="3">
        <f t="shared" si="6"/>
        <v>-8.0000000000000016E-2</v>
      </c>
      <c r="F40" s="3">
        <f t="shared" si="2"/>
        <v>8.0000000000000016E-2</v>
      </c>
      <c r="G40" s="3">
        <f t="shared" si="3"/>
        <v>6.4000000000000029E-3</v>
      </c>
    </row>
    <row r="41" spans="1:7" x14ac:dyDescent="0.3">
      <c r="A41" s="23"/>
      <c r="B41" s="3" t="s">
        <v>313</v>
      </c>
      <c r="C41" s="3">
        <v>0</v>
      </c>
      <c r="D41" s="3">
        <f t="shared" si="8"/>
        <v>8.0000000000000016E-2</v>
      </c>
      <c r="E41" s="3">
        <f t="shared" si="6"/>
        <v>-8.0000000000000016E-2</v>
      </c>
      <c r="F41" s="3">
        <f t="shared" si="2"/>
        <v>8.0000000000000016E-2</v>
      </c>
      <c r="G41" s="3">
        <f t="shared" si="3"/>
        <v>6.4000000000000029E-3</v>
      </c>
    </row>
    <row r="42" spans="1:7" x14ac:dyDescent="0.3">
      <c r="A42" s="21" t="s">
        <v>310</v>
      </c>
      <c r="B42" s="3">
        <v>8</v>
      </c>
      <c r="C42" s="3">
        <v>0.01</v>
      </c>
      <c r="D42" s="3">
        <f>(SUM($C$42:$C$51)-C42)/(COUNT($C$42:$C$51)-1)</f>
        <v>1.4444444444444446E-2</v>
      </c>
      <c r="E42" s="3">
        <f t="shared" si="6"/>
        <v>-4.4444444444444453E-3</v>
      </c>
      <c r="F42" s="3">
        <f t="shared" si="2"/>
        <v>4.4444444444444453E-3</v>
      </c>
      <c r="G42" s="3">
        <f t="shared" si="3"/>
        <v>1.9753086419753093E-5</v>
      </c>
    </row>
    <row r="43" spans="1:7" x14ac:dyDescent="0.3">
      <c r="A43" s="22"/>
      <c r="B43" s="3">
        <v>9</v>
      </c>
      <c r="C43" s="3">
        <v>0.01</v>
      </c>
      <c r="D43" s="3">
        <f t="shared" ref="D43:D51" si="9">(SUM($C$42:$C$51)-C43)/(COUNT($C$42:$C$51)-1)</f>
        <v>1.4444444444444446E-2</v>
      </c>
      <c r="E43" s="3">
        <f t="shared" si="6"/>
        <v>-4.4444444444444453E-3</v>
      </c>
      <c r="F43" s="3">
        <f t="shared" si="2"/>
        <v>4.4444444444444453E-3</v>
      </c>
      <c r="G43" s="3">
        <f t="shared" si="3"/>
        <v>1.9753086419753093E-5</v>
      </c>
    </row>
    <row r="44" spans="1:7" x14ac:dyDescent="0.3">
      <c r="A44" s="22"/>
      <c r="B44" s="3">
        <v>10</v>
      </c>
      <c r="C44" s="3">
        <v>0</v>
      </c>
      <c r="D44" s="3">
        <f t="shared" si="9"/>
        <v>1.5555555555555557E-2</v>
      </c>
      <c r="E44" s="3">
        <f t="shared" si="6"/>
        <v>-1.5555555555555557E-2</v>
      </c>
      <c r="F44" s="3">
        <f t="shared" si="2"/>
        <v>1.5555555555555557E-2</v>
      </c>
      <c r="G44" s="3">
        <f t="shared" si="3"/>
        <v>2.4197530864197535E-4</v>
      </c>
    </row>
    <row r="45" spans="1:7" x14ac:dyDescent="0.3">
      <c r="A45" s="22"/>
      <c r="B45" s="3">
        <v>11</v>
      </c>
      <c r="C45" s="3">
        <v>0.02</v>
      </c>
      <c r="D45" s="3">
        <f t="shared" si="9"/>
        <v>1.3333333333333334E-2</v>
      </c>
      <c r="E45" s="3">
        <f t="shared" si="6"/>
        <v>6.6666666666666662E-3</v>
      </c>
      <c r="F45" s="3">
        <f t="shared" si="2"/>
        <v>6.6666666666666662E-3</v>
      </c>
      <c r="G45" s="3">
        <f t="shared" si="3"/>
        <v>4.444444444444444E-5</v>
      </c>
    </row>
    <row r="46" spans="1:7" x14ac:dyDescent="0.3">
      <c r="A46" s="22"/>
      <c r="B46" s="3">
        <v>12</v>
      </c>
      <c r="C46" s="3">
        <v>0</v>
      </c>
      <c r="D46" s="3">
        <f t="shared" si="9"/>
        <v>1.5555555555555557E-2</v>
      </c>
      <c r="E46" s="3">
        <f t="shared" si="6"/>
        <v>-1.5555555555555557E-2</v>
      </c>
      <c r="F46" s="3">
        <f t="shared" si="2"/>
        <v>1.5555555555555557E-2</v>
      </c>
      <c r="G46" s="3">
        <f t="shared" si="3"/>
        <v>2.4197530864197535E-4</v>
      </c>
    </row>
    <row r="47" spans="1:7" x14ac:dyDescent="0.3">
      <c r="A47" s="22"/>
      <c r="B47" s="3">
        <v>16</v>
      </c>
      <c r="C47" s="3">
        <v>0.03</v>
      </c>
      <c r="D47" s="3">
        <f t="shared" si="9"/>
        <v>1.2222222222222225E-2</v>
      </c>
      <c r="E47" s="3">
        <f t="shared" si="6"/>
        <v>1.7777777777777774E-2</v>
      </c>
      <c r="F47" s="3">
        <f t="shared" si="2"/>
        <v>1.7777777777777774E-2</v>
      </c>
      <c r="G47" s="3">
        <f t="shared" si="3"/>
        <v>3.1604938271604928E-4</v>
      </c>
    </row>
    <row r="48" spans="1:7" x14ac:dyDescent="0.3">
      <c r="A48" s="22"/>
      <c r="B48" s="3">
        <v>20</v>
      </c>
      <c r="C48" s="3">
        <v>7.0000000000000007E-2</v>
      </c>
      <c r="D48" s="3">
        <f t="shared" si="9"/>
        <v>7.7777777777777784E-3</v>
      </c>
      <c r="E48" s="3">
        <f t="shared" si="6"/>
        <v>6.2222222222222227E-2</v>
      </c>
      <c r="F48" s="3">
        <f t="shared" si="2"/>
        <v>6.2222222222222227E-2</v>
      </c>
      <c r="G48" s="3">
        <f t="shared" si="3"/>
        <v>3.8716049382716057E-3</v>
      </c>
    </row>
    <row r="49" spans="1:7" x14ac:dyDescent="0.3">
      <c r="A49" s="22"/>
      <c r="B49" s="3">
        <v>0</v>
      </c>
      <c r="C49" s="3">
        <v>0</v>
      </c>
      <c r="D49" s="3">
        <f t="shared" si="9"/>
        <v>1.5555555555555557E-2</v>
      </c>
      <c r="E49" s="3">
        <f t="shared" si="6"/>
        <v>-1.5555555555555557E-2</v>
      </c>
      <c r="F49" s="3">
        <f t="shared" si="2"/>
        <v>1.5555555555555557E-2</v>
      </c>
      <c r="G49" s="3">
        <f t="shared" si="3"/>
        <v>2.4197530864197535E-4</v>
      </c>
    </row>
    <row r="50" spans="1:7" x14ac:dyDescent="0.3">
      <c r="A50" s="22"/>
      <c r="B50" s="3" t="s">
        <v>312</v>
      </c>
      <c r="C50" s="3">
        <v>0</v>
      </c>
      <c r="D50" s="3">
        <f t="shared" si="9"/>
        <v>1.5555555555555557E-2</v>
      </c>
      <c r="E50" s="3">
        <f t="shared" si="6"/>
        <v>-1.5555555555555557E-2</v>
      </c>
      <c r="F50" s="3">
        <f t="shared" si="2"/>
        <v>1.5555555555555557E-2</v>
      </c>
      <c r="G50" s="3">
        <f t="shared" si="3"/>
        <v>2.4197530864197535E-4</v>
      </c>
    </row>
    <row r="51" spans="1:7" x14ac:dyDescent="0.3">
      <c r="A51" s="23"/>
      <c r="B51" s="3" t="s">
        <v>313</v>
      </c>
      <c r="C51" s="3">
        <v>0</v>
      </c>
      <c r="D51" s="3">
        <f t="shared" si="9"/>
        <v>1.5555555555555557E-2</v>
      </c>
      <c r="E51" s="3">
        <f t="shared" si="6"/>
        <v>-1.5555555555555557E-2</v>
      </c>
      <c r="F51" s="3">
        <f t="shared" si="2"/>
        <v>1.5555555555555557E-2</v>
      </c>
      <c r="G51" s="3">
        <f t="shared" si="3"/>
        <v>2.4197530864197535E-4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A9E8-0B31-4252-AD7F-1AAA095E0AF8}">
  <dimension ref="A1:O28"/>
  <sheetViews>
    <sheetView tabSelected="1" zoomScale="80" zoomScaleNormal="80" workbookViewId="0">
      <pane ySplit="1" topLeftCell="A12" activePane="bottomLeft" state="frozen"/>
      <selection pane="bottomLeft" activeCell="K37" sqref="K37"/>
    </sheetView>
  </sheetViews>
  <sheetFormatPr defaultRowHeight="14.4" x14ac:dyDescent="0.3"/>
  <cols>
    <col min="1" max="1" width="10.44140625" customWidth="1"/>
    <col min="2" max="2" width="8.88671875" style="13"/>
    <col min="3" max="3" width="13.109375" style="18" customWidth="1"/>
    <col min="4" max="6" width="8.88671875" style="18"/>
    <col min="7" max="7" width="10.5546875" style="18" customWidth="1"/>
    <col min="8" max="8" width="13.33203125" style="18" customWidth="1"/>
    <col min="9" max="15" width="8.88671875" style="18"/>
    <col min="16" max="16384" width="8.88671875" style="13"/>
  </cols>
  <sheetData>
    <row r="1" spans="1:15" ht="21.6" customHeight="1" x14ac:dyDescent="0.25">
      <c r="A1" s="15" t="s">
        <v>350</v>
      </c>
      <c r="B1" s="15" t="s">
        <v>349</v>
      </c>
      <c r="C1" s="15" t="s">
        <v>337</v>
      </c>
      <c r="D1" s="15" t="s">
        <v>336</v>
      </c>
      <c r="E1" s="15" t="s">
        <v>2</v>
      </c>
      <c r="F1" s="15" t="s">
        <v>338</v>
      </c>
      <c r="G1" s="15" t="s">
        <v>339</v>
      </c>
      <c r="H1" s="15" t="s">
        <v>340</v>
      </c>
      <c r="I1" s="15" t="s">
        <v>341</v>
      </c>
      <c r="J1" s="15" t="s">
        <v>342</v>
      </c>
      <c r="K1" s="15" t="s">
        <v>343</v>
      </c>
      <c r="L1" s="15" t="s">
        <v>299</v>
      </c>
      <c r="M1" s="15" t="s">
        <v>344</v>
      </c>
      <c r="N1" s="15" t="s">
        <v>331</v>
      </c>
      <c r="O1" s="15" t="s">
        <v>345</v>
      </c>
    </row>
    <row r="2" spans="1:15" ht="15.6" x14ac:dyDescent="0.25">
      <c r="A2" s="24" t="s">
        <v>347</v>
      </c>
      <c r="B2" s="16" t="s">
        <v>297</v>
      </c>
      <c r="C2" s="17">
        <v>-5.3290705182007512E-16</v>
      </c>
      <c r="D2" s="17">
        <v>-0.67888888888888921</v>
      </c>
      <c r="E2" s="17">
        <v>0.11392592592592783</v>
      </c>
      <c r="F2" s="17">
        <v>-6.2481481481481653</v>
      </c>
      <c r="G2" s="17">
        <v>-0.28674074074074068</v>
      </c>
      <c r="H2" s="17">
        <v>-1.0814814814814515</v>
      </c>
      <c r="I2" s="17">
        <v>1.0814814814814833E-2</v>
      </c>
      <c r="J2" s="17">
        <v>0.75185185185185333</v>
      </c>
      <c r="K2" s="14">
        <v>1.2592592592592591E-2</v>
      </c>
      <c r="L2" s="14">
        <v>-1.1111111111111111E-3</v>
      </c>
      <c r="M2" s="14">
        <v>-0.78592592592592647</v>
      </c>
      <c r="N2" s="14">
        <v>-1.4814814814814812E-3</v>
      </c>
      <c r="O2" s="14">
        <v>-2.2222222222222222E-3</v>
      </c>
    </row>
    <row r="3" spans="1:15" ht="15.6" x14ac:dyDescent="0.25">
      <c r="A3" s="25"/>
      <c r="B3" s="16">
        <v>33</v>
      </c>
      <c r="C3" s="17">
        <v>-0.13555555555555365</v>
      </c>
      <c r="D3" s="17">
        <v>0.14888888888888849</v>
      </c>
      <c r="E3" s="17">
        <v>1.0074074074075531E-2</v>
      </c>
      <c r="F3" s="17">
        <v>0.19259259259259429</v>
      </c>
      <c r="G3" s="17">
        <v>0.71929629629629543</v>
      </c>
      <c r="H3" s="17">
        <v>0.91851851851846311</v>
      </c>
      <c r="I3" s="17">
        <v>3.1249999999999334E-4</v>
      </c>
      <c r="J3" s="17">
        <v>0.25000000000000472</v>
      </c>
      <c r="K3" s="14">
        <v>4.0740740740740744E-2</v>
      </c>
      <c r="L3" s="14">
        <v>5.5555555555555558E-3</v>
      </c>
      <c r="M3" s="14">
        <v>-0.12407407407407407</v>
      </c>
      <c r="N3" s="14">
        <v>-1.4814814814814812E-3</v>
      </c>
      <c r="O3" s="14">
        <v>-6.666666666666668E-3</v>
      </c>
    </row>
    <row r="4" spans="1:15" ht="15.6" x14ac:dyDescent="0.25">
      <c r="A4" s="25"/>
      <c r="B4" s="16">
        <v>46</v>
      </c>
      <c r="C4" s="17">
        <v>-8.407407407407301E-2</v>
      </c>
      <c r="D4" s="17">
        <v>-5.2962962962962955E-2</v>
      </c>
      <c r="E4" s="17">
        <v>2.911111111111116E-2</v>
      </c>
      <c r="F4" s="17">
        <v>-1.1296296296296571</v>
      </c>
      <c r="G4" s="17">
        <v>0.10048148148148146</v>
      </c>
      <c r="H4" s="17">
        <v>-7.4074074073469847E-3</v>
      </c>
      <c r="I4" s="17">
        <v>1.2500000000005099E-4</v>
      </c>
      <c r="J4" s="17">
        <v>7.5000000000021785E-2</v>
      </c>
      <c r="K4" s="14">
        <v>4.2592592592592592E-2</v>
      </c>
      <c r="L4" s="14">
        <v>6.2962962962962964E-3</v>
      </c>
      <c r="M4" s="14">
        <v>-0.14518518518518519</v>
      </c>
      <c r="N4" s="14">
        <v>-1.8518518518518519E-3</v>
      </c>
      <c r="O4" s="14">
        <v>-0.02</v>
      </c>
    </row>
    <row r="5" spans="1:15" ht="15.6" x14ac:dyDescent="0.25">
      <c r="A5" s="25"/>
      <c r="B5" s="16" t="s">
        <v>309</v>
      </c>
      <c r="C5" s="17">
        <v>-0.30777777777777732</v>
      </c>
      <c r="D5" s="17">
        <v>-7.1481481481480216E-2</v>
      </c>
      <c r="E5" s="17">
        <v>3.3333333333332625E-2</v>
      </c>
      <c r="F5" s="17">
        <v>-9.4777777777778116</v>
      </c>
      <c r="G5" s="17">
        <v>5.5296296296295289E-2</v>
      </c>
      <c r="H5" s="17">
        <v>-0.25925925925927612</v>
      </c>
      <c r="I5" s="17">
        <v>-3.7037037037037274E-4</v>
      </c>
      <c r="J5" s="17">
        <v>-0.34444444444443434</v>
      </c>
      <c r="K5" s="14">
        <v>8.5185185185185155E-3</v>
      </c>
      <c r="L5" s="14">
        <v>5.9259259259259256E-3</v>
      </c>
      <c r="M5" s="14">
        <v>-0.16666666666666666</v>
      </c>
      <c r="N5" s="14">
        <v>1.1111111111111113E-3</v>
      </c>
      <c r="O5" s="14">
        <v>-6.3333333333333339E-2</v>
      </c>
    </row>
    <row r="6" spans="1:15" ht="15.6" x14ac:dyDescent="0.25">
      <c r="A6" s="26"/>
      <c r="B6" s="16" t="s">
        <v>310</v>
      </c>
      <c r="C6" s="17">
        <v>-1.1562962962962953</v>
      </c>
      <c r="D6" s="17">
        <v>-0.26555555555555471</v>
      </c>
      <c r="E6" s="17">
        <v>7.0518518518517162E-2</v>
      </c>
      <c r="F6" s="17">
        <v>-12.403703703703732</v>
      </c>
      <c r="G6" s="17">
        <v>1.2958888888888895</v>
      </c>
      <c r="H6" s="17">
        <v>0.58518518518519613</v>
      </c>
      <c r="I6" s="17">
        <v>4.4444444444446951E-4</v>
      </c>
      <c r="J6" s="17">
        <v>0.87777777777777999</v>
      </c>
      <c r="K6" s="14">
        <v>9.2592592592592605E-3</v>
      </c>
      <c r="L6" s="14">
        <v>2.2222222222222222E-3</v>
      </c>
      <c r="M6" s="14">
        <v>4.1111111111111022E-2</v>
      </c>
      <c r="N6" s="14">
        <v>-1.1111111111111115E-3</v>
      </c>
      <c r="O6" s="14">
        <v>2.9629629629629611E-3</v>
      </c>
    </row>
    <row r="7" spans="1:15" ht="15.6" x14ac:dyDescent="0.25">
      <c r="A7" s="24" t="s">
        <v>346</v>
      </c>
      <c r="B7" s="16" t="s">
        <v>297</v>
      </c>
      <c r="C7" s="17">
        <v>0.64633333333333298</v>
      </c>
      <c r="D7" s="17">
        <v>0.67888888888888921</v>
      </c>
      <c r="E7" s="17">
        <v>0.20933333333333412</v>
      </c>
      <c r="F7" s="17">
        <v>12.870370370370381</v>
      </c>
      <c r="G7" s="17">
        <v>1.549037037037037</v>
      </c>
      <c r="H7" s="17">
        <v>5.0592592592592878</v>
      </c>
      <c r="I7" s="17">
        <v>1.0814814814814833E-2</v>
      </c>
      <c r="J7" s="17">
        <v>0.75185185185185333</v>
      </c>
      <c r="K7" s="14">
        <v>3.1481481481481478E-2</v>
      </c>
      <c r="L7" s="14">
        <v>1.1111111111111111E-3</v>
      </c>
      <c r="M7" s="14">
        <v>2.0874074074074072</v>
      </c>
      <c r="N7" s="14">
        <v>4.0740740740740746E-3</v>
      </c>
      <c r="O7" s="14">
        <v>2.2222222222222222E-3</v>
      </c>
    </row>
    <row r="8" spans="1:15" ht="15.6" x14ac:dyDescent="0.25">
      <c r="A8" s="25"/>
      <c r="B8" s="16">
        <v>33</v>
      </c>
      <c r="C8" s="17">
        <v>0.80555555555555536</v>
      </c>
      <c r="D8" s="17">
        <v>1.5481481481481481</v>
      </c>
      <c r="E8" s="17">
        <v>4.5333333333334259E-2</v>
      </c>
      <c r="F8" s="17">
        <v>5.2370370370370365</v>
      </c>
      <c r="G8" s="17">
        <v>3.083814814814815</v>
      </c>
      <c r="H8" s="17">
        <v>4.8888888888888857</v>
      </c>
      <c r="I8" s="17">
        <v>2.8124999999999956E-3</v>
      </c>
      <c r="J8" s="17">
        <v>2.4374999999999951</v>
      </c>
      <c r="K8" s="14">
        <v>0.12962962962962965</v>
      </c>
      <c r="L8" s="14">
        <v>5.5555555555555558E-3</v>
      </c>
      <c r="M8" s="14">
        <v>0.39074074074074078</v>
      </c>
      <c r="N8" s="14">
        <v>4.0740740740740746E-3</v>
      </c>
      <c r="O8" s="14">
        <v>2.2962962962962963E-2</v>
      </c>
    </row>
    <row r="9" spans="1:15" ht="15.6" x14ac:dyDescent="0.25">
      <c r="A9" s="25"/>
      <c r="B9" s="16">
        <v>46</v>
      </c>
      <c r="C9" s="17">
        <v>0.97037037037037044</v>
      </c>
      <c r="D9" s="17">
        <v>1.2625925925925927</v>
      </c>
      <c r="E9" s="17">
        <v>5.5999999999999751E-2</v>
      </c>
      <c r="F9" s="17">
        <v>13.77777777777778</v>
      </c>
      <c r="G9" s="17">
        <v>2.0155555555555558</v>
      </c>
      <c r="H9" s="17">
        <v>4.0555555555555713</v>
      </c>
      <c r="I9" s="17">
        <v>2.2499999999999834E-3</v>
      </c>
      <c r="J9" s="17">
        <v>1.9500000000000028</v>
      </c>
      <c r="K9" s="14">
        <v>0.12407407407407406</v>
      </c>
      <c r="L9" s="14">
        <v>7.037037037037037E-3</v>
      </c>
      <c r="M9" s="14">
        <v>0.35925925925925922</v>
      </c>
      <c r="N9" s="14">
        <v>5.5555555555555558E-3</v>
      </c>
      <c r="O9" s="14">
        <v>2.2592592592592595E-2</v>
      </c>
    </row>
    <row r="10" spans="1:15" ht="15.6" x14ac:dyDescent="0.25">
      <c r="A10" s="25"/>
      <c r="B10" s="16" t="s">
        <v>309</v>
      </c>
      <c r="C10" s="17">
        <v>0.95074074074074133</v>
      </c>
      <c r="D10" s="17">
        <v>1.3907407407407408</v>
      </c>
      <c r="E10" s="17">
        <v>4.2592592592592148E-2</v>
      </c>
      <c r="F10" s="17">
        <v>18.240740740740748</v>
      </c>
      <c r="G10" s="17">
        <v>2.5770000000000004</v>
      </c>
      <c r="H10" s="17">
        <v>3.814814814814838</v>
      </c>
      <c r="I10" s="17">
        <v>1.8518518518518638E-3</v>
      </c>
      <c r="J10" s="17">
        <v>1.6481481481481428</v>
      </c>
      <c r="K10" s="14">
        <v>3.1481481481481478E-2</v>
      </c>
      <c r="L10" s="14">
        <v>7.037037037037037E-3</v>
      </c>
      <c r="M10" s="14">
        <v>0.37037037037037029</v>
      </c>
      <c r="N10" s="14">
        <v>1.1111111111111113E-3</v>
      </c>
      <c r="O10" s="14">
        <v>6.3333333333333339E-2</v>
      </c>
    </row>
    <row r="11" spans="1:15" ht="15.6" x14ac:dyDescent="0.25">
      <c r="A11" s="26"/>
      <c r="B11" s="16" t="s">
        <v>310</v>
      </c>
      <c r="C11" s="17">
        <v>4.3059259259259255</v>
      </c>
      <c r="D11" s="17">
        <v>1.3774074074074074</v>
      </c>
      <c r="E11" s="17">
        <v>0.11948148148148115</v>
      </c>
      <c r="F11" s="17">
        <v>13.318518518518536</v>
      </c>
      <c r="G11" s="17">
        <v>3.8940740740740742</v>
      </c>
      <c r="H11" s="17">
        <v>1.2222222222222285</v>
      </c>
      <c r="I11" s="17">
        <v>8.8888888888890205E-4</v>
      </c>
      <c r="J11" s="17">
        <v>2.5444444444444465</v>
      </c>
      <c r="K11" s="14">
        <v>2.5925925925925925E-2</v>
      </c>
      <c r="L11" s="14">
        <v>8.1481481481481492E-3</v>
      </c>
      <c r="M11" s="14">
        <v>1.107777777777778</v>
      </c>
      <c r="N11" s="14">
        <v>5.5555555555555558E-3</v>
      </c>
      <c r="O11" s="14">
        <v>2.3703703703703703E-2</v>
      </c>
    </row>
    <row r="12" spans="1:15" ht="15.6" x14ac:dyDescent="0.25">
      <c r="A12" s="24" t="s">
        <v>319</v>
      </c>
      <c r="B12" s="16" t="s">
        <v>297</v>
      </c>
      <c r="C12" s="17">
        <v>0.50221137037037</v>
      </c>
      <c r="D12" s="17">
        <v>0.54034485596707871</v>
      </c>
      <c r="E12" s="17">
        <v>7.3693279835391437E-2</v>
      </c>
      <c r="F12" s="17">
        <v>258.93818930041198</v>
      </c>
      <c r="G12" s="17">
        <v>2.6205924403292178</v>
      </c>
      <c r="H12" s="17">
        <v>63.405884773662613</v>
      </c>
      <c r="I12" s="17">
        <v>1.365761316872431E-4</v>
      </c>
      <c r="J12" s="17">
        <v>0.76144032921812033</v>
      </c>
      <c r="K12" s="14">
        <v>1.4925925925925925E-3</v>
      </c>
      <c r="L12" s="14">
        <v>1.2345679012345681E-6</v>
      </c>
      <c r="M12" s="14">
        <v>6.837285185185185</v>
      </c>
      <c r="N12" s="14">
        <v>1.9341563786008232E-5</v>
      </c>
      <c r="O12" s="14">
        <v>4.9382716049382725E-6</v>
      </c>
    </row>
    <row r="13" spans="1:15" ht="15.6" x14ac:dyDescent="0.25">
      <c r="A13" s="25"/>
      <c r="B13" s="16">
        <v>33</v>
      </c>
      <c r="C13" s="17">
        <v>0.946389711934156</v>
      </c>
      <c r="D13" s="17">
        <v>3.3277646090534971</v>
      </c>
      <c r="E13" s="17">
        <v>2.5975432098766307E-3</v>
      </c>
      <c r="F13" s="17">
        <v>40.58201646090528</v>
      </c>
      <c r="G13" s="17">
        <v>18.9448577037037</v>
      </c>
      <c r="H13" s="17">
        <v>30.871111111111045</v>
      </c>
      <c r="I13" s="17">
        <v>1.0960937500000006E-5</v>
      </c>
      <c r="J13" s="17">
        <v>7.8404687499999701</v>
      </c>
      <c r="K13" s="14">
        <v>4.6049382716049393E-2</v>
      </c>
      <c r="L13" s="14">
        <v>6.1728395061728397E-5</v>
      </c>
      <c r="M13" s="14">
        <v>0.22809670781893007</v>
      </c>
      <c r="N13" s="14">
        <v>1.9341563786008232E-5</v>
      </c>
      <c r="O13" s="14">
        <v>6.6172839506172844E-4</v>
      </c>
    </row>
    <row r="14" spans="1:15" ht="15.6" x14ac:dyDescent="0.25">
      <c r="A14" s="25"/>
      <c r="B14" s="16">
        <v>46</v>
      </c>
      <c r="C14" s="17">
        <v>1.6065609053497951</v>
      </c>
      <c r="D14" s="17">
        <v>2.8073489711934165</v>
      </c>
      <c r="E14" s="17">
        <v>3.877909465020563E-3</v>
      </c>
      <c r="F14" s="17">
        <v>330.66975308641975</v>
      </c>
      <c r="G14" s="17">
        <v>7.5215988600823067</v>
      </c>
      <c r="H14" s="17">
        <v>26.968847736625602</v>
      </c>
      <c r="I14" s="17">
        <v>8.0312499999999326E-6</v>
      </c>
      <c r="J14" s="17">
        <v>6.4982812500000193</v>
      </c>
      <c r="K14" s="14">
        <v>2.9938271604938272E-2</v>
      </c>
      <c r="L14" s="14">
        <v>6.7078189300411525E-5</v>
      </c>
      <c r="M14" s="14">
        <v>0.21057119341563788</v>
      </c>
      <c r="N14" s="14">
        <v>3.0864197530864198E-5</v>
      </c>
      <c r="O14" s="14">
        <v>5.5432098765432092E-4</v>
      </c>
    </row>
    <row r="15" spans="1:15" ht="15.6" x14ac:dyDescent="0.25">
      <c r="A15" s="25"/>
      <c r="B15" s="16" t="s">
        <v>309</v>
      </c>
      <c r="C15" s="17">
        <v>1.3211777777777787</v>
      </c>
      <c r="D15" s="17">
        <v>3.3092008230452663</v>
      </c>
      <c r="E15" s="17">
        <v>2.3148148148147709E-3</v>
      </c>
      <c r="F15" s="17">
        <v>553.94246913580321</v>
      </c>
      <c r="G15" s="17">
        <v>9.7816859382716022</v>
      </c>
      <c r="H15" s="17">
        <v>20.049382716049504</v>
      </c>
      <c r="I15" s="17">
        <v>4.9382716049383352E-6</v>
      </c>
      <c r="J15" s="17">
        <v>4.4838683127571812</v>
      </c>
      <c r="K15" s="14">
        <v>1.6123456790123451E-3</v>
      </c>
      <c r="L15" s="14">
        <v>5.2263374485596705E-5</v>
      </c>
      <c r="M15" s="14">
        <v>0.19925925925925922</v>
      </c>
      <c r="N15" s="14">
        <v>1.2345679012345683E-6</v>
      </c>
      <c r="O15" s="14">
        <v>4.2065843621399189E-3</v>
      </c>
    </row>
    <row r="16" spans="1:15" ht="15.6" x14ac:dyDescent="0.25">
      <c r="A16" s="26"/>
      <c r="B16" s="16" t="s">
        <v>310</v>
      </c>
      <c r="C16" s="17">
        <v>47.301112345679002</v>
      </c>
      <c r="D16" s="17">
        <v>2.8208386831275725</v>
      </c>
      <c r="E16" s="17">
        <v>1.5974370370370333E-2</v>
      </c>
      <c r="F16" s="17">
        <v>239.14679012345752</v>
      </c>
      <c r="G16" s="17">
        <v>20.567743238683132</v>
      </c>
      <c r="H16" s="17">
        <v>3.5550617283951413</v>
      </c>
      <c r="I16" s="17">
        <v>1.4320987654321368E-6</v>
      </c>
      <c r="J16" s="17">
        <v>18.608971193415695</v>
      </c>
      <c r="K16" s="14">
        <v>9.7736625514403298E-4</v>
      </c>
      <c r="L16" s="14">
        <v>8.7242798353909473E-5</v>
      </c>
      <c r="M16" s="14">
        <v>2.4578115226337451</v>
      </c>
      <c r="N16" s="14">
        <v>3.209876543209877E-5</v>
      </c>
      <c r="O16" s="14">
        <v>8.5925925925925926E-4</v>
      </c>
    </row>
    <row r="17" spans="1:15" ht="15.6" x14ac:dyDescent="0.25">
      <c r="A17" s="24" t="s">
        <v>320</v>
      </c>
      <c r="B17" s="16" t="s">
        <v>297</v>
      </c>
      <c r="C17" s="17">
        <v>0.70866873105165995</v>
      </c>
      <c r="D17" s="17">
        <v>0.73508153014960098</v>
      </c>
      <c r="E17" s="17">
        <v>0.27146506190556352</v>
      </c>
      <c r="F17" s="17">
        <v>16.091556459846014</v>
      </c>
      <c r="G17" s="17">
        <v>1.6188244007084949</v>
      </c>
      <c r="H17" s="17">
        <v>7.9627812210095668</v>
      </c>
      <c r="I17" s="17">
        <v>1.1686579126812221E-2</v>
      </c>
      <c r="J17" s="17">
        <v>0.87260548314694897</v>
      </c>
      <c r="K17" s="14">
        <v>3.8634085890474908E-2</v>
      </c>
      <c r="L17" s="14">
        <v>1.1111111111111111E-3</v>
      </c>
      <c r="M17" s="14">
        <v>2.6148202969200742</v>
      </c>
      <c r="N17" s="14">
        <v>4.3979044766807099E-3</v>
      </c>
      <c r="O17" s="14">
        <v>2.2222222222222222E-3</v>
      </c>
    </row>
    <row r="18" spans="1:15" ht="15.6" x14ac:dyDescent="0.25">
      <c r="A18" s="25"/>
      <c r="B18" s="16">
        <v>33</v>
      </c>
      <c r="C18" s="17">
        <v>0.97282563285213453</v>
      </c>
      <c r="D18" s="17">
        <v>1.8242161629186102</v>
      </c>
      <c r="E18" s="17">
        <v>5.0966098633077959E-2</v>
      </c>
      <c r="F18" s="17">
        <v>6.3704015933773972</v>
      </c>
      <c r="G18" s="17">
        <v>4.352569092352665</v>
      </c>
      <c r="H18" s="17">
        <v>5.556177742937229</v>
      </c>
      <c r="I18" s="17">
        <v>3.3107306595372577E-3</v>
      </c>
      <c r="J18" s="17">
        <v>2.8000837041059987</v>
      </c>
      <c r="K18" s="14">
        <v>0.21459119906475521</v>
      </c>
      <c r="L18" s="14">
        <v>7.8567420131838619E-3</v>
      </c>
      <c r="M18" s="14">
        <v>0.47759471083642674</v>
      </c>
      <c r="N18" s="14">
        <v>4.3979044766807099E-3</v>
      </c>
      <c r="O18" s="14">
        <v>2.5724082006200501E-2</v>
      </c>
    </row>
    <row r="19" spans="1:15" ht="15.6" x14ac:dyDescent="0.25">
      <c r="A19" s="25"/>
      <c r="B19" s="16">
        <v>46</v>
      </c>
      <c r="C19" s="17">
        <v>1.2675018364285691</v>
      </c>
      <c r="D19" s="17">
        <v>1.6755145392366539</v>
      </c>
      <c r="E19" s="17">
        <v>6.2272862990395444E-2</v>
      </c>
      <c r="F19" s="17">
        <v>18.184327127678376</v>
      </c>
      <c r="G19" s="17">
        <v>2.7425533468070054</v>
      </c>
      <c r="H19" s="17">
        <v>5.1931539296101752</v>
      </c>
      <c r="I19" s="17">
        <v>2.8339460121886467E-3</v>
      </c>
      <c r="J19" s="17">
        <v>2.5491726599036046</v>
      </c>
      <c r="K19" s="14">
        <v>0.17302679447108263</v>
      </c>
      <c r="L19" s="14">
        <v>8.1901275509244382E-3</v>
      </c>
      <c r="M19" s="14">
        <v>0.45888036939450555</v>
      </c>
      <c r="N19" s="14">
        <v>5.5555555555555558E-3</v>
      </c>
      <c r="O19" s="14">
        <v>2.3544022333796766E-2</v>
      </c>
    </row>
    <row r="20" spans="1:15" ht="15.6" x14ac:dyDescent="0.25">
      <c r="A20" s="25"/>
      <c r="B20" s="16" t="s">
        <v>309</v>
      </c>
      <c r="C20" s="17">
        <v>1.1494249770114529</v>
      </c>
      <c r="D20" s="17">
        <v>1.8191208929164842</v>
      </c>
      <c r="E20" s="17">
        <v>4.8112522432468358E-2</v>
      </c>
      <c r="F20" s="17">
        <v>23.535982434047728</v>
      </c>
      <c r="G20" s="17">
        <v>3.1275686944128984</v>
      </c>
      <c r="H20" s="17">
        <v>4.4776537065799875</v>
      </c>
      <c r="I20" s="17">
        <v>2.2222222222222365E-3</v>
      </c>
      <c r="J20" s="17">
        <v>2.1175146546735353</v>
      </c>
      <c r="K20" s="14">
        <v>4.0154024443539216E-2</v>
      </c>
      <c r="L20" s="14">
        <v>7.2293412207196798E-3</v>
      </c>
      <c r="M20" s="14">
        <v>0.4463846539244592</v>
      </c>
      <c r="N20" s="14">
        <v>1.1111111111111113E-3</v>
      </c>
      <c r="O20" s="14">
        <v>6.485818654680317E-2</v>
      </c>
    </row>
    <row r="21" spans="1:15" ht="15.6" x14ac:dyDescent="0.25">
      <c r="A21" s="26"/>
      <c r="B21" s="16" t="s">
        <v>310</v>
      </c>
      <c r="C21" s="17">
        <v>6.8775804136105165</v>
      </c>
      <c r="D21" s="17">
        <v>1.6795352580781304</v>
      </c>
      <c r="E21" s="17">
        <v>0.12638975579678258</v>
      </c>
      <c r="F21" s="17">
        <v>15.464371636877377</v>
      </c>
      <c r="G21" s="17">
        <v>4.5351673881658581</v>
      </c>
      <c r="H21" s="17">
        <v>1.8854871329168867</v>
      </c>
      <c r="I21" s="17">
        <v>1.1967032904743502E-3</v>
      </c>
      <c r="J21" s="17">
        <v>4.3138116780193005</v>
      </c>
      <c r="K21" s="14">
        <v>3.1262857437285428E-2</v>
      </c>
      <c r="L21" s="14">
        <v>9.3403853429025862E-3</v>
      </c>
      <c r="M21" s="14">
        <v>1.5677408977996794</v>
      </c>
      <c r="N21" s="14">
        <v>5.6655772373253172E-3</v>
      </c>
      <c r="O21" s="14">
        <v>2.9313124351717599E-2</v>
      </c>
    </row>
    <row r="22" spans="1:15" ht="15.6" x14ac:dyDescent="0.25">
      <c r="A22" s="24" t="s">
        <v>348</v>
      </c>
      <c r="B22" s="16" t="s">
        <v>297</v>
      </c>
      <c r="C22" s="17">
        <v>5.0409156921279896</v>
      </c>
      <c r="D22" s="17">
        <v>11.640245924775945</v>
      </c>
      <c r="E22" s="17">
        <v>3.4803956739105137</v>
      </c>
      <c r="F22" s="17">
        <v>6.7606847390992293</v>
      </c>
      <c r="G22" s="17">
        <v>113.85472282558868</v>
      </c>
      <c r="H22" s="17">
        <v>1.2502077018463276</v>
      </c>
      <c r="I22" s="17">
        <v>3.4238024785582679</v>
      </c>
      <c r="J22" s="17">
        <v>0.26976674046175253</v>
      </c>
      <c r="K22" s="14">
        <v>136.35559726049965</v>
      </c>
      <c r="L22" s="14" t="e">
        <v>#DIV/0!</v>
      </c>
      <c r="M22" s="14">
        <v>82.443099219760612</v>
      </c>
      <c r="N22" s="14">
        <v>263.87426860084258</v>
      </c>
      <c r="O22" s="14" t="e">
        <v>#DIV/0!</v>
      </c>
    </row>
    <row r="23" spans="1:15" ht="15.6" x14ac:dyDescent="0.25">
      <c r="A23" s="25"/>
      <c r="B23" s="16">
        <v>33</v>
      </c>
      <c r="C23" s="17">
        <v>3.8889691499185872</v>
      </c>
      <c r="D23" s="17">
        <v>13.048756530176039</v>
      </c>
      <c r="E23" s="17">
        <v>0.57665917101674136</v>
      </c>
      <c r="F23" s="17">
        <v>3.10473637886966</v>
      </c>
      <c r="G23" s="17">
        <v>58.75366049656008</v>
      </c>
      <c r="H23" s="17">
        <v>1.164410284932706</v>
      </c>
      <c r="I23" s="17">
        <v>1.2957849939480461</v>
      </c>
      <c r="J23" s="17">
        <v>1.1634696831465368</v>
      </c>
      <c r="K23" s="14">
        <v>201.17924912320802</v>
      </c>
      <c r="L23" s="14">
        <v>52.378280087892406</v>
      </c>
      <c r="M23" s="14">
        <v>81.873379000530292</v>
      </c>
      <c r="N23" s="14">
        <v>263.87426860084258</v>
      </c>
      <c r="O23" s="14">
        <v>257.24082006200501</v>
      </c>
    </row>
    <row r="24" spans="1:15" ht="15.6" x14ac:dyDescent="0.25">
      <c r="A24" s="25"/>
      <c r="B24" s="16">
        <v>46</v>
      </c>
      <c r="C24" s="17">
        <v>5.0191466595640275</v>
      </c>
      <c r="D24" s="17">
        <v>12.63744467054673</v>
      </c>
      <c r="E24" s="17">
        <v>0.70540171035790045</v>
      </c>
      <c r="F24" s="17">
        <v>9.2856138524315117</v>
      </c>
      <c r="G24" s="17">
        <v>36.16553863921326</v>
      </c>
      <c r="H24" s="17">
        <v>1.0958718242064169</v>
      </c>
      <c r="I24" s="17">
        <v>1.115726776452223</v>
      </c>
      <c r="J24" s="17">
        <v>1.065707633738965</v>
      </c>
      <c r="K24" s="14">
        <v>146.21982631359097</v>
      </c>
      <c r="L24" s="14">
        <v>49.14076530554663</v>
      </c>
      <c r="M24" s="14">
        <v>86.040069261469782</v>
      </c>
      <c r="N24" s="14">
        <v>166.66666666666666</v>
      </c>
      <c r="O24" s="14">
        <v>470.88044667593527</v>
      </c>
    </row>
    <row r="25" spans="1:15" ht="15.6" x14ac:dyDescent="0.25">
      <c r="A25" s="25"/>
      <c r="B25" s="16" t="s">
        <v>309</v>
      </c>
      <c r="C25" s="17">
        <v>4.6226622843814713</v>
      </c>
      <c r="D25" s="17">
        <v>12.475397596866964</v>
      </c>
      <c r="E25" s="17">
        <v>0.54144184596520761</v>
      </c>
      <c r="F25" s="17">
        <v>12.390619865252816</v>
      </c>
      <c r="G25" s="17">
        <v>33.273187287629682</v>
      </c>
      <c r="H25" s="17">
        <v>0.94511792863856758</v>
      </c>
      <c r="I25" s="17">
        <v>0.87604029785370674</v>
      </c>
      <c r="J25" s="17">
        <v>0.88691713284755402</v>
      </c>
      <c r="K25" s="14">
        <v>96.369658664494125</v>
      </c>
      <c r="L25" s="14">
        <v>39.432770294834604</v>
      </c>
      <c r="M25" s="14">
        <v>97.040142157491132</v>
      </c>
      <c r="N25" s="14">
        <v>11.111111111111112</v>
      </c>
      <c r="O25" s="14">
        <v>432.38791031202118</v>
      </c>
    </row>
    <row r="26" spans="1:15" ht="15.6" x14ac:dyDescent="0.25">
      <c r="A26" s="26"/>
      <c r="B26" s="16" t="s">
        <v>310</v>
      </c>
      <c r="C26" s="17">
        <v>30.926690010989354</v>
      </c>
      <c r="D26" s="17">
        <v>12.113489059344612</v>
      </c>
      <c r="E26" s="17">
        <v>1.4389179438744173</v>
      </c>
      <c r="F26" s="17">
        <v>7.6797078150359424</v>
      </c>
      <c r="G26" s="17">
        <v>56.393526338794551</v>
      </c>
      <c r="H26" s="17">
        <v>0.39202033396289837</v>
      </c>
      <c r="I26" s="17">
        <v>0.46383848467998073</v>
      </c>
      <c r="J26" s="17">
        <v>1.7675933939845525</v>
      </c>
      <c r="K26" s="14">
        <v>93.788572311856285</v>
      </c>
      <c r="L26" s="14">
        <v>93.403853429025858</v>
      </c>
      <c r="M26" s="14">
        <v>154.45723131031326</v>
      </c>
      <c r="N26" s="14">
        <v>113.31154474650633</v>
      </c>
      <c r="O26" s="14">
        <v>175.8787461103056</v>
      </c>
    </row>
    <row r="28" spans="1:15" ht="14.4" customHeight="1" x14ac:dyDescent="0.3"/>
  </sheetData>
  <mergeCells count="5"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81cac1-d937-433c-af67-974718e90c2a">
      <Terms xmlns="http://schemas.microsoft.com/office/infopath/2007/PartnerControls"/>
    </lcf76f155ced4ddcb4097134ff3c332f>
    <Megjegyz_x00e9_s xmlns="b981cac1-d937-433c-af67-974718e90c2a" xsi:nil="true"/>
    <TaxCatchAll xmlns="013cace8-51a0-4e75-9494-d13d047cde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99FA6E08F70A1645BC7C6025F89A1264" ma:contentTypeVersion="19" ma:contentTypeDescription="Új dokumentum létrehozása." ma:contentTypeScope="" ma:versionID="48c7031f560e7da1633f95414935940f">
  <xsd:schema xmlns:xsd="http://www.w3.org/2001/XMLSchema" xmlns:xs="http://www.w3.org/2001/XMLSchema" xmlns:p="http://schemas.microsoft.com/office/2006/metadata/properties" xmlns:ns2="b981cac1-d937-433c-af67-974718e90c2a" xmlns:ns3="013cace8-51a0-4e75-9494-d13d047cdeba" targetNamespace="http://schemas.microsoft.com/office/2006/metadata/properties" ma:root="true" ma:fieldsID="fa36ef3e6d20c13d25a47641659c588e" ns2:_="" ns3:_="">
    <xsd:import namespace="b981cac1-d937-433c-af67-974718e90c2a"/>
    <xsd:import namespace="013cace8-51a0-4e75-9494-d13d047cd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gjegyz_x00e9_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1cac1-d937-433c-af67-974718e90c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Képcímkék" ma:readOnly="false" ma:fieldId="{5cf76f15-5ced-4ddc-b409-7134ff3c332f}" ma:taxonomyMulti="true" ma:sspId="892e0818-2272-4b50-aa80-70e8894ba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gjegyz_x00e9_s" ma:index="25" nillable="true" ma:displayName="Megjegyzés" ma:format="Dropdown" ma:internalName="Megjegyz_x00e9_s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cace8-51a0-4e75-9494-d13d047cdeb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654a8eb-0963-4b3f-a093-b2edd128a8e3}" ma:internalName="TaxCatchAll" ma:showField="CatchAllData" ma:web="013cace8-51a0-4e75-9494-d13d047cd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732B1B-A890-4EB7-9B1D-2248C476330B}">
  <ds:schemaRefs>
    <ds:schemaRef ds:uri="http://schemas.microsoft.com/office/2006/metadata/properties"/>
    <ds:schemaRef ds:uri="http://schemas.microsoft.com/office/infopath/2007/PartnerControls"/>
    <ds:schemaRef ds:uri="b981cac1-d937-433c-af67-974718e90c2a"/>
    <ds:schemaRef ds:uri="013cace8-51a0-4e75-9494-d13d047cdeba"/>
  </ds:schemaRefs>
</ds:datastoreItem>
</file>

<file path=customXml/itemProps2.xml><?xml version="1.0" encoding="utf-8"?>
<ds:datastoreItem xmlns:ds="http://schemas.openxmlformats.org/officeDocument/2006/customXml" ds:itemID="{1A368EFC-D64A-42EB-8CC5-FC3B49C8B4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341B5A-CB20-4CDF-9F03-BB9EB621B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1cac1-d937-433c-af67-974718e90c2a"/>
    <ds:schemaRef ds:uri="013cace8-51a0-4e75-9494-d13d047cd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orginal data</vt:lpstr>
      <vt:lpstr>Temp</vt:lpstr>
      <vt:lpstr>DO</vt:lpstr>
      <vt:lpstr>pH</vt:lpstr>
      <vt:lpstr>ORP</vt:lpstr>
      <vt:lpstr>Turbidity</vt:lpstr>
      <vt:lpstr>EC</vt:lpstr>
      <vt:lpstr>Salinity</vt:lpstr>
      <vt:lpstr>TDS</vt:lpstr>
      <vt:lpstr>NH4</vt:lpstr>
      <vt:lpstr>NO2</vt:lpstr>
      <vt:lpstr>NO3</vt:lpstr>
      <vt:lpstr>OP</vt:lpstr>
      <vt:lpstr>TP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Andarai Tsiiregzen</cp:lastModifiedBy>
  <cp:revision/>
  <dcterms:created xsi:type="dcterms:W3CDTF">2025-06-30T11:54:42Z</dcterms:created>
  <dcterms:modified xsi:type="dcterms:W3CDTF">2026-05-08T12:30:23Z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0x01010099FA6E08F70A1645BC7C6025F89A1264</vt:lpwstr>
  </property>
  <property fmtid="{D5CDD505-2E9C-101B-9397-08002B2CF9AE}" pid="3" name="MediaServiceImageTags">
    <vt:lpwstr/>
  </property>
</Properties>
</file>