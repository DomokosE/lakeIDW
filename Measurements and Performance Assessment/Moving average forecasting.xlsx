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almosunipannonhu-my.sharepoint.com/personal/d2mvsc_student_uni-pannon_hu/Documents/Documents/Tsiigee/Pannon/Research/Bánya-tó/Interpolation maps methods/Ecological Informatics/Research data/"/>
    </mc:Choice>
  </mc:AlternateContent>
  <xr:revisionPtr revIDLastSave="881" documentId="13_ncr:1_{DF0789FD-F7A0-428D-90E1-002A5E2CCC73}" xr6:coauthVersionLast="47" xr6:coauthVersionMax="47" xr10:uidLastSave="{535BAD44-3A2E-4767-92B5-F597AA1F8921}"/>
  <bookViews>
    <workbookView xWindow="-23148" yWindow="-72" windowWidth="23256" windowHeight="12456" xr2:uid="{00000000-000D-0000-FFFF-FFFF00000000}"/>
  </bookViews>
  <sheets>
    <sheet name="orginal data" sheetId="6" r:id="rId1"/>
    <sheet name="Temp" sheetId="7" r:id="rId2"/>
    <sheet name="DO" sheetId="8" r:id="rId3"/>
    <sheet name="pH" sheetId="9" r:id="rId4"/>
    <sheet name="ORP" sheetId="10" r:id="rId5"/>
    <sheet name="Turbidity" sheetId="11" r:id="rId6"/>
    <sheet name="EC" sheetId="12" r:id="rId7"/>
    <sheet name="Salinity" sheetId="13" r:id="rId8"/>
    <sheet name="TDS" sheetId="14" r:id="rId9"/>
    <sheet name="NH4" sheetId="15" r:id="rId10"/>
    <sheet name="NO2" sheetId="16" r:id="rId11"/>
    <sheet name="NO3" sheetId="17" r:id="rId12"/>
    <sheet name="OP" sheetId="18" r:id="rId13"/>
    <sheet name="TP" sheetId="19" r:id="rId14"/>
    <sheet name="total " sheetId="21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9" l="1"/>
  <c r="E51" i="19" s="1"/>
  <c r="D50" i="19"/>
  <c r="E50" i="19" s="1"/>
  <c r="D49" i="19"/>
  <c r="E49" i="19" s="1"/>
  <c r="D48" i="19"/>
  <c r="E48" i="19" s="1"/>
  <c r="D47" i="19"/>
  <c r="E47" i="19" s="1"/>
  <c r="D46" i="19"/>
  <c r="E46" i="19" s="1"/>
  <c r="K9" i="19" s="1"/>
  <c r="D41" i="19"/>
  <c r="E41" i="19" s="1"/>
  <c r="D40" i="19"/>
  <c r="E40" i="19" s="1"/>
  <c r="D39" i="19"/>
  <c r="E39" i="19" s="1"/>
  <c r="F39" i="19" s="1"/>
  <c r="D38" i="19"/>
  <c r="E38" i="19" s="1"/>
  <c r="D37" i="19"/>
  <c r="E37" i="19" s="1"/>
  <c r="D36" i="19"/>
  <c r="E36" i="19" s="1"/>
  <c r="K8" i="19" s="1"/>
  <c r="D31" i="19"/>
  <c r="E31" i="19" s="1"/>
  <c r="D30" i="19"/>
  <c r="E30" i="19" s="1"/>
  <c r="D29" i="19"/>
  <c r="E29" i="19" s="1"/>
  <c r="D28" i="19"/>
  <c r="E28" i="19" s="1"/>
  <c r="D27" i="19"/>
  <c r="E27" i="19" s="1"/>
  <c r="D26" i="19"/>
  <c r="E26" i="19" s="1"/>
  <c r="K7" i="19" s="1"/>
  <c r="D21" i="19"/>
  <c r="E21" i="19" s="1"/>
  <c r="D20" i="19"/>
  <c r="E20" i="19" s="1"/>
  <c r="D19" i="19"/>
  <c r="E19" i="19" s="1"/>
  <c r="G19" i="19" s="1"/>
  <c r="D18" i="19"/>
  <c r="E18" i="19" s="1"/>
  <c r="G18" i="19" s="1"/>
  <c r="D17" i="19"/>
  <c r="E17" i="19" s="1"/>
  <c r="D16" i="19"/>
  <c r="E16" i="19" s="1"/>
  <c r="K6" i="19" s="1"/>
  <c r="D11" i="19"/>
  <c r="E11" i="19" s="1"/>
  <c r="D10" i="19"/>
  <c r="E10" i="19" s="1"/>
  <c r="D9" i="19"/>
  <c r="E9" i="19" s="1"/>
  <c r="D8" i="19"/>
  <c r="E8" i="19" s="1"/>
  <c r="D7" i="19"/>
  <c r="E7" i="19" s="1"/>
  <c r="D6" i="19"/>
  <c r="E6" i="19" s="1"/>
  <c r="K5" i="19" s="1"/>
  <c r="D51" i="18"/>
  <c r="E51" i="18" s="1"/>
  <c r="D50" i="18"/>
  <c r="E50" i="18" s="1"/>
  <c r="D49" i="18"/>
  <c r="E49" i="18" s="1"/>
  <c r="D48" i="18"/>
  <c r="E48" i="18" s="1"/>
  <c r="D47" i="18"/>
  <c r="E47" i="18" s="1"/>
  <c r="D46" i="18"/>
  <c r="E46" i="18" s="1"/>
  <c r="D41" i="18"/>
  <c r="E41" i="18" s="1"/>
  <c r="D40" i="18"/>
  <c r="E40" i="18" s="1"/>
  <c r="D39" i="18"/>
  <c r="E39" i="18" s="1"/>
  <c r="D38" i="18"/>
  <c r="E38" i="18" s="1"/>
  <c r="D37" i="18"/>
  <c r="E37" i="18" s="1"/>
  <c r="D36" i="18"/>
  <c r="E36" i="18" s="1"/>
  <c r="K8" i="18" s="1"/>
  <c r="D31" i="18"/>
  <c r="E31" i="18" s="1"/>
  <c r="D30" i="18"/>
  <c r="E30" i="18" s="1"/>
  <c r="D29" i="18"/>
  <c r="E29" i="18" s="1"/>
  <c r="D28" i="18"/>
  <c r="E28" i="18" s="1"/>
  <c r="D27" i="18"/>
  <c r="E27" i="18" s="1"/>
  <c r="D26" i="18"/>
  <c r="E26" i="18" s="1"/>
  <c r="K7" i="18" s="1"/>
  <c r="D21" i="18"/>
  <c r="E21" i="18" s="1"/>
  <c r="D20" i="18"/>
  <c r="E20" i="18" s="1"/>
  <c r="D19" i="18"/>
  <c r="E19" i="18" s="1"/>
  <c r="D18" i="18"/>
  <c r="E18" i="18" s="1"/>
  <c r="D17" i="18"/>
  <c r="E17" i="18" s="1"/>
  <c r="D16" i="18"/>
  <c r="E16" i="18" s="1"/>
  <c r="K6" i="18" s="1"/>
  <c r="D11" i="18"/>
  <c r="E11" i="18" s="1"/>
  <c r="F11" i="18" s="1"/>
  <c r="D10" i="18"/>
  <c r="E10" i="18" s="1"/>
  <c r="D9" i="18"/>
  <c r="E9" i="18" s="1"/>
  <c r="D8" i="18"/>
  <c r="E8" i="18" s="1"/>
  <c r="D7" i="18"/>
  <c r="E7" i="18" s="1"/>
  <c r="D6" i="18"/>
  <c r="E6" i="18" s="1"/>
  <c r="K5" i="18" s="1"/>
  <c r="D51" i="17"/>
  <c r="E51" i="17" s="1"/>
  <c r="D50" i="17"/>
  <c r="E50" i="17" s="1"/>
  <c r="D49" i="17"/>
  <c r="E49" i="17" s="1"/>
  <c r="G49" i="17" s="1"/>
  <c r="D48" i="17"/>
  <c r="E48" i="17" s="1"/>
  <c r="D47" i="17"/>
  <c r="E47" i="17" s="1"/>
  <c r="D46" i="17"/>
  <c r="E46" i="17" s="1"/>
  <c r="D41" i="17"/>
  <c r="E41" i="17" s="1"/>
  <c r="D40" i="17"/>
  <c r="E40" i="17" s="1"/>
  <c r="D39" i="17"/>
  <c r="E39" i="17" s="1"/>
  <c r="F39" i="17" s="1"/>
  <c r="D38" i="17"/>
  <c r="E38" i="17" s="1"/>
  <c r="K8" i="17" s="1"/>
  <c r="D37" i="17"/>
  <c r="E37" i="17" s="1"/>
  <c r="F37" i="17" s="1"/>
  <c r="D36" i="17"/>
  <c r="E36" i="17" s="1"/>
  <c r="D31" i="17"/>
  <c r="E31" i="17" s="1"/>
  <c r="D30" i="17"/>
  <c r="E30" i="17" s="1"/>
  <c r="D29" i="17"/>
  <c r="E29" i="17" s="1"/>
  <c r="D28" i="17"/>
  <c r="E28" i="17" s="1"/>
  <c r="D27" i="17"/>
  <c r="E27" i="17" s="1"/>
  <c r="D26" i="17"/>
  <c r="E26" i="17" s="1"/>
  <c r="K7" i="17" s="1"/>
  <c r="D21" i="17"/>
  <c r="E21" i="17" s="1"/>
  <c r="D20" i="17"/>
  <c r="E20" i="17" s="1"/>
  <c r="D19" i="17"/>
  <c r="E19" i="17" s="1"/>
  <c r="D18" i="17"/>
  <c r="E18" i="17" s="1"/>
  <c r="D17" i="17"/>
  <c r="E17" i="17" s="1"/>
  <c r="D16" i="17"/>
  <c r="E16" i="17" s="1"/>
  <c r="K6" i="17" s="1"/>
  <c r="D11" i="17"/>
  <c r="E11" i="17" s="1"/>
  <c r="D10" i="17"/>
  <c r="E10" i="17" s="1"/>
  <c r="D9" i="17"/>
  <c r="E9" i="17" s="1"/>
  <c r="F9" i="17" s="1"/>
  <c r="D8" i="17"/>
  <c r="E8" i="17" s="1"/>
  <c r="F8" i="17" s="1"/>
  <c r="D7" i="17"/>
  <c r="E7" i="17" s="1"/>
  <c r="D6" i="17"/>
  <c r="E6" i="17" s="1"/>
  <c r="K5" i="17" s="1"/>
  <c r="D51" i="16"/>
  <c r="E51" i="16" s="1"/>
  <c r="D50" i="16"/>
  <c r="E50" i="16" s="1"/>
  <c r="D49" i="16"/>
  <c r="E49" i="16" s="1"/>
  <c r="F49" i="16" s="1"/>
  <c r="D48" i="16"/>
  <c r="E48" i="16" s="1"/>
  <c r="D47" i="16"/>
  <c r="E47" i="16" s="1"/>
  <c r="D46" i="16"/>
  <c r="E46" i="16" s="1"/>
  <c r="K9" i="16" s="1"/>
  <c r="D41" i="16"/>
  <c r="E41" i="16" s="1"/>
  <c r="D40" i="16"/>
  <c r="E40" i="16" s="1"/>
  <c r="D39" i="16"/>
  <c r="E39" i="16" s="1"/>
  <c r="D38" i="16"/>
  <c r="E38" i="16" s="1"/>
  <c r="D37" i="16"/>
  <c r="E37" i="16" s="1"/>
  <c r="F37" i="16" s="1"/>
  <c r="D36" i="16"/>
  <c r="E36" i="16" s="1"/>
  <c r="D31" i="16"/>
  <c r="E31" i="16" s="1"/>
  <c r="D30" i="16"/>
  <c r="E30" i="16" s="1"/>
  <c r="D29" i="16"/>
  <c r="E29" i="16" s="1"/>
  <c r="D28" i="16"/>
  <c r="E28" i="16" s="1"/>
  <c r="D27" i="16"/>
  <c r="E27" i="16" s="1"/>
  <c r="D26" i="16"/>
  <c r="E26" i="16" s="1"/>
  <c r="K7" i="16" s="1"/>
  <c r="D21" i="16"/>
  <c r="E21" i="16" s="1"/>
  <c r="F21" i="16" s="1"/>
  <c r="D20" i="16"/>
  <c r="E20" i="16" s="1"/>
  <c r="D19" i="16"/>
  <c r="E19" i="16" s="1"/>
  <c r="D18" i="16"/>
  <c r="E18" i="16" s="1"/>
  <c r="D17" i="16"/>
  <c r="E17" i="16" s="1"/>
  <c r="D16" i="16"/>
  <c r="E16" i="16" s="1"/>
  <c r="K6" i="16" s="1"/>
  <c r="D11" i="16"/>
  <c r="E11" i="16" s="1"/>
  <c r="D10" i="16"/>
  <c r="E10" i="16" s="1"/>
  <c r="D9" i="16"/>
  <c r="E9" i="16" s="1"/>
  <c r="F9" i="16" s="1"/>
  <c r="D8" i="16"/>
  <c r="E8" i="16" s="1"/>
  <c r="D7" i="16"/>
  <c r="E7" i="16" s="1"/>
  <c r="D6" i="16"/>
  <c r="E6" i="16" s="1"/>
  <c r="K5" i="16" s="1"/>
  <c r="D51" i="15"/>
  <c r="E51" i="15" s="1"/>
  <c r="D50" i="15"/>
  <c r="E50" i="15" s="1"/>
  <c r="D49" i="15"/>
  <c r="E49" i="15" s="1"/>
  <c r="D48" i="15"/>
  <c r="E48" i="15" s="1"/>
  <c r="D47" i="15"/>
  <c r="E47" i="15" s="1"/>
  <c r="D46" i="15"/>
  <c r="E46" i="15" s="1"/>
  <c r="K9" i="15" s="1"/>
  <c r="D41" i="15"/>
  <c r="E41" i="15" s="1"/>
  <c r="D40" i="15"/>
  <c r="E40" i="15" s="1"/>
  <c r="D39" i="15"/>
  <c r="E39" i="15" s="1"/>
  <c r="D38" i="15"/>
  <c r="E38" i="15" s="1"/>
  <c r="D37" i="15"/>
  <c r="E37" i="15" s="1"/>
  <c r="D36" i="15"/>
  <c r="E36" i="15" s="1"/>
  <c r="D31" i="15"/>
  <c r="E31" i="15" s="1"/>
  <c r="D30" i="15"/>
  <c r="E30" i="15" s="1"/>
  <c r="D29" i="15"/>
  <c r="E29" i="15" s="1"/>
  <c r="D28" i="15"/>
  <c r="E28" i="15" s="1"/>
  <c r="D27" i="15"/>
  <c r="E27" i="15" s="1"/>
  <c r="D26" i="15"/>
  <c r="E26" i="15" s="1"/>
  <c r="K7" i="15" s="1"/>
  <c r="D21" i="15"/>
  <c r="E21" i="15" s="1"/>
  <c r="D20" i="15"/>
  <c r="E20" i="15" s="1"/>
  <c r="D19" i="15"/>
  <c r="E19" i="15" s="1"/>
  <c r="D18" i="15"/>
  <c r="E18" i="15" s="1"/>
  <c r="D17" i="15"/>
  <c r="E17" i="15" s="1"/>
  <c r="D16" i="15"/>
  <c r="E16" i="15" s="1"/>
  <c r="K6" i="15" s="1"/>
  <c r="D11" i="15"/>
  <c r="E11" i="15" s="1"/>
  <c r="D10" i="15"/>
  <c r="E10" i="15" s="1"/>
  <c r="D9" i="15"/>
  <c r="E9" i="15" s="1"/>
  <c r="D8" i="15"/>
  <c r="E8" i="15" s="1"/>
  <c r="D7" i="15"/>
  <c r="E7" i="15" s="1"/>
  <c r="D6" i="15"/>
  <c r="E6" i="15" s="1"/>
  <c r="K5" i="15" s="1"/>
  <c r="D51" i="14"/>
  <c r="E51" i="14" s="1"/>
  <c r="F51" i="14" s="1"/>
  <c r="D50" i="14"/>
  <c r="E50" i="14" s="1"/>
  <c r="D49" i="14"/>
  <c r="E49" i="14" s="1"/>
  <c r="D48" i="14"/>
  <c r="E48" i="14" s="1"/>
  <c r="D47" i="14"/>
  <c r="E47" i="14" s="1"/>
  <c r="D46" i="14"/>
  <c r="E46" i="14" s="1"/>
  <c r="K9" i="14" s="1"/>
  <c r="D41" i="14"/>
  <c r="E41" i="14" s="1"/>
  <c r="D40" i="14"/>
  <c r="E40" i="14" s="1"/>
  <c r="D39" i="14"/>
  <c r="E39" i="14" s="1"/>
  <c r="F39" i="14" s="1"/>
  <c r="D38" i="14"/>
  <c r="E38" i="14" s="1"/>
  <c r="G38" i="14" s="1"/>
  <c r="D37" i="14"/>
  <c r="E37" i="14" s="1"/>
  <c r="G37" i="14" s="1"/>
  <c r="D36" i="14"/>
  <c r="E36" i="14" s="1"/>
  <c r="D31" i="14"/>
  <c r="E31" i="14" s="1"/>
  <c r="D30" i="14"/>
  <c r="E30" i="14" s="1"/>
  <c r="D29" i="14"/>
  <c r="E29" i="14" s="1"/>
  <c r="D28" i="14"/>
  <c r="E28" i="14" s="1"/>
  <c r="D27" i="14"/>
  <c r="E27" i="14" s="1"/>
  <c r="F27" i="14" s="1"/>
  <c r="D26" i="14"/>
  <c r="E26" i="14" s="1"/>
  <c r="K7" i="14" s="1"/>
  <c r="D21" i="14"/>
  <c r="E21" i="14" s="1"/>
  <c r="D20" i="14"/>
  <c r="E20" i="14" s="1"/>
  <c r="D19" i="14"/>
  <c r="E19" i="14" s="1"/>
  <c r="D18" i="14"/>
  <c r="E18" i="14" s="1"/>
  <c r="D17" i="14"/>
  <c r="E17" i="14" s="1"/>
  <c r="D16" i="14"/>
  <c r="E16" i="14" s="1"/>
  <c r="K6" i="14" s="1"/>
  <c r="D11" i="14"/>
  <c r="E11" i="14" s="1"/>
  <c r="F11" i="14" s="1"/>
  <c r="D10" i="14"/>
  <c r="E10" i="14" s="1"/>
  <c r="D9" i="14"/>
  <c r="E9" i="14" s="1"/>
  <c r="D8" i="14"/>
  <c r="E8" i="14" s="1"/>
  <c r="D7" i="14"/>
  <c r="E7" i="14" s="1"/>
  <c r="D6" i="14"/>
  <c r="E6" i="14" s="1"/>
  <c r="K5" i="14" s="1"/>
  <c r="D51" i="13"/>
  <c r="E51" i="13" s="1"/>
  <c r="D50" i="13"/>
  <c r="E50" i="13" s="1"/>
  <c r="D49" i="13"/>
  <c r="E49" i="13" s="1"/>
  <c r="G49" i="13" s="1"/>
  <c r="D48" i="13"/>
  <c r="E48" i="13" s="1"/>
  <c r="D47" i="13"/>
  <c r="E47" i="13" s="1"/>
  <c r="D46" i="13"/>
  <c r="E46" i="13" s="1"/>
  <c r="D41" i="13"/>
  <c r="E41" i="13" s="1"/>
  <c r="D40" i="13"/>
  <c r="E40" i="13" s="1"/>
  <c r="D39" i="13"/>
  <c r="E39" i="13" s="1"/>
  <c r="D38" i="13"/>
  <c r="E38" i="13" s="1"/>
  <c r="F38" i="13" s="1"/>
  <c r="D37" i="13"/>
  <c r="E37" i="13" s="1"/>
  <c r="D36" i="13"/>
  <c r="E36" i="13" s="1"/>
  <c r="K8" i="13" s="1"/>
  <c r="D31" i="13"/>
  <c r="E31" i="13" s="1"/>
  <c r="G31" i="13" s="1"/>
  <c r="D30" i="13"/>
  <c r="E30" i="13" s="1"/>
  <c r="D29" i="13"/>
  <c r="E29" i="13" s="1"/>
  <c r="D28" i="13"/>
  <c r="E28" i="13" s="1"/>
  <c r="D27" i="13"/>
  <c r="E27" i="13" s="1"/>
  <c r="D26" i="13"/>
  <c r="E26" i="13" s="1"/>
  <c r="D21" i="13"/>
  <c r="E21" i="13" s="1"/>
  <c r="D20" i="13"/>
  <c r="E20" i="13" s="1"/>
  <c r="D19" i="13"/>
  <c r="E19" i="13" s="1"/>
  <c r="D18" i="13"/>
  <c r="E18" i="13" s="1"/>
  <c r="D17" i="13"/>
  <c r="E17" i="13" s="1"/>
  <c r="D16" i="13"/>
  <c r="E16" i="13" s="1"/>
  <c r="D11" i="13"/>
  <c r="E11" i="13" s="1"/>
  <c r="D10" i="13"/>
  <c r="E10" i="13" s="1"/>
  <c r="D9" i="13"/>
  <c r="E9" i="13" s="1"/>
  <c r="D8" i="13"/>
  <c r="E8" i="13" s="1"/>
  <c r="D7" i="13"/>
  <c r="E7" i="13" s="1"/>
  <c r="D6" i="13"/>
  <c r="E6" i="13" s="1"/>
  <c r="D51" i="12"/>
  <c r="E51" i="12" s="1"/>
  <c r="D50" i="12"/>
  <c r="E50" i="12" s="1"/>
  <c r="D49" i="12"/>
  <c r="E49" i="12" s="1"/>
  <c r="F49" i="12" s="1"/>
  <c r="D48" i="12"/>
  <c r="E48" i="12" s="1"/>
  <c r="G48" i="12" s="1"/>
  <c r="D47" i="12"/>
  <c r="E47" i="12" s="1"/>
  <c r="F47" i="12" s="1"/>
  <c r="D46" i="12"/>
  <c r="E46" i="12" s="1"/>
  <c r="K9" i="12" s="1"/>
  <c r="D41" i="12"/>
  <c r="E41" i="12" s="1"/>
  <c r="D40" i="12"/>
  <c r="E40" i="12" s="1"/>
  <c r="D39" i="12"/>
  <c r="E39" i="12" s="1"/>
  <c r="D38" i="12"/>
  <c r="E38" i="12" s="1"/>
  <c r="D37" i="12"/>
  <c r="E37" i="12" s="1"/>
  <c r="F37" i="12" s="1"/>
  <c r="D36" i="12"/>
  <c r="E36" i="12" s="1"/>
  <c r="K8" i="12" s="1"/>
  <c r="D31" i="12"/>
  <c r="E31" i="12" s="1"/>
  <c r="D30" i="12"/>
  <c r="E30" i="12" s="1"/>
  <c r="D29" i="12"/>
  <c r="E29" i="12" s="1"/>
  <c r="D28" i="12"/>
  <c r="E28" i="12" s="1"/>
  <c r="D27" i="12"/>
  <c r="E27" i="12" s="1"/>
  <c r="D26" i="12"/>
  <c r="E26" i="12" s="1"/>
  <c r="K7" i="12" s="1"/>
  <c r="D21" i="12"/>
  <c r="E21" i="12" s="1"/>
  <c r="D20" i="12"/>
  <c r="E20" i="12" s="1"/>
  <c r="D19" i="12"/>
  <c r="E19" i="12" s="1"/>
  <c r="D18" i="12"/>
  <c r="E18" i="12" s="1"/>
  <c r="D17" i="12"/>
  <c r="E17" i="12" s="1"/>
  <c r="D16" i="12"/>
  <c r="E16" i="12" s="1"/>
  <c r="K6" i="12" s="1"/>
  <c r="D11" i="12"/>
  <c r="E11" i="12" s="1"/>
  <c r="D10" i="12"/>
  <c r="E10" i="12" s="1"/>
  <c r="D9" i="12"/>
  <c r="E9" i="12" s="1"/>
  <c r="D8" i="12"/>
  <c r="E8" i="12" s="1"/>
  <c r="G8" i="12" s="1"/>
  <c r="D7" i="12"/>
  <c r="E7" i="12" s="1"/>
  <c r="D6" i="12"/>
  <c r="E6" i="12" s="1"/>
  <c r="K5" i="12" s="1"/>
  <c r="D51" i="11"/>
  <c r="E51" i="11" s="1"/>
  <c r="D50" i="11"/>
  <c r="E50" i="11" s="1"/>
  <c r="D49" i="11"/>
  <c r="E49" i="11" s="1"/>
  <c r="F49" i="11" s="1"/>
  <c r="D48" i="11"/>
  <c r="E48" i="11" s="1"/>
  <c r="D47" i="11"/>
  <c r="E47" i="11" s="1"/>
  <c r="D46" i="11"/>
  <c r="E46" i="11" s="1"/>
  <c r="D41" i="11"/>
  <c r="E41" i="11" s="1"/>
  <c r="D40" i="11"/>
  <c r="E40" i="11" s="1"/>
  <c r="D39" i="11"/>
  <c r="E39" i="11" s="1"/>
  <c r="D38" i="11"/>
  <c r="E38" i="11" s="1"/>
  <c r="D37" i="11"/>
  <c r="E37" i="11" s="1"/>
  <c r="F37" i="11" s="1"/>
  <c r="D36" i="11"/>
  <c r="E36" i="11" s="1"/>
  <c r="K8" i="11" s="1"/>
  <c r="D31" i="11"/>
  <c r="E31" i="11" s="1"/>
  <c r="D30" i="11"/>
  <c r="E30" i="11" s="1"/>
  <c r="D29" i="11"/>
  <c r="E29" i="11" s="1"/>
  <c r="D28" i="11"/>
  <c r="E28" i="11" s="1"/>
  <c r="D27" i="11"/>
  <c r="E27" i="11" s="1"/>
  <c r="D26" i="11"/>
  <c r="E26" i="11" s="1"/>
  <c r="K7" i="11" s="1"/>
  <c r="D21" i="11"/>
  <c r="E21" i="11" s="1"/>
  <c r="F21" i="11" s="1"/>
  <c r="D20" i="11"/>
  <c r="E20" i="11" s="1"/>
  <c r="D19" i="11"/>
  <c r="E19" i="11" s="1"/>
  <c r="F19" i="11" s="1"/>
  <c r="D18" i="11"/>
  <c r="E18" i="11" s="1"/>
  <c r="D17" i="11"/>
  <c r="E17" i="11" s="1"/>
  <c r="D16" i="11"/>
  <c r="E16" i="11" s="1"/>
  <c r="K6" i="11" s="1"/>
  <c r="D11" i="11"/>
  <c r="E11" i="11" s="1"/>
  <c r="D10" i="11"/>
  <c r="E10" i="11" s="1"/>
  <c r="D9" i="11"/>
  <c r="E9" i="11" s="1"/>
  <c r="D8" i="11"/>
  <c r="E8" i="11" s="1"/>
  <c r="D7" i="11"/>
  <c r="E7" i="11" s="1"/>
  <c r="F7" i="11" s="1"/>
  <c r="D6" i="11"/>
  <c r="E6" i="11" s="1"/>
  <c r="K5" i="11" s="1"/>
  <c r="D51" i="10"/>
  <c r="E51" i="10" s="1"/>
  <c r="D50" i="10"/>
  <c r="E50" i="10" s="1"/>
  <c r="D49" i="10"/>
  <c r="E49" i="10" s="1"/>
  <c r="F49" i="10" s="1"/>
  <c r="D48" i="10"/>
  <c r="E48" i="10" s="1"/>
  <c r="D47" i="10"/>
  <c r="E47" i="10" s="1"/>
  <c r="D46" i="10"/>
  <c r="E46" i="10" s="1"/>
  <c r="D41" i="10"/>
  <c r="E41" i="10" s="1"/>
  <c r="D40" i="10"/>
  <c r="E40" i="10" s="1"/>
  <c r="D39" i="10"/>
  <c r="E39" i="10" s="1"/>
  <c r="D38" i="10"/>
  <c r="E38" i="10" s="1"/>
  <c r="D37" i="10"/>
  <c r="E37" i="10" s="1"/>
  <c r="F37" i="10" s="1"/>
  <c r="D36" i="10"/>
  <c r="E36" i="10" s="1"/>
  <c r="D31" i="10"/>
  <c r="E31" i="10" s="1"/>
  <c r="D30" i="10"/>
  <c r="E30" i="10" s="1"/>
  <c r="D29" i="10"/>
  <c r="E29" i="10" s="1"/>
  <c r="D28" i="10"/>
  <c r="E28" i="10" s="1"/>
  <c r="D27" i="10"/>
  <c r="E27" i="10" s="1"/>
  <c r="D26" i="10"/>
  <c r="E26" i="10" s="1"/>
  <c r="K7" i="10" s="1"/>
  <c r="D21" i="10"/>
  <c r="E21" i="10" s="1"/>
  <c r="F21" i="10" s="1"/>
  <c r="D20" i="10"/>
  <c r="E20" i="10" s="1"/>
  <c r="D19" i="10"/>
  <c r="E19" i="10" s="1"/>
  <c r="D18" i="10"/>
  <c r="E18" i="10" s="1"/>
  <c r="D17" i="10"/>
  <c r="E17" i="10" s="1"/>
  <c r="D16" i="10"/>
  <c r="E16" i="10" s="1"/>
  <c r="K6" i="10" s="1"/>
  <c r="D11" i="10"/>
  <c r="E11" i="10" s="1"/>
  <c r="D10" i="10"/>
  <c r="E10" i="10" s="1"/>
  <c r="D9" i="10"/>
  <c r="E9" i="10" s="1"/>
  <c r="F9" i="10" s="1"/>
  <c r="D8" i="10"/>
  <c r="E8" i="10" s="1"/>
  <c r="D7" i="10"/>
  <c r="E7" i="10" s="1"/>
  <c r="D6" i="10"/>
  <c r="E6" i="10" s="1"/>
  <c r="K5" i="10" s="1"/>
  <c r="D51" i="9"/>
  <c r="E51" i="9" s="1"/>
  <c r="D50" i="9"/>
  <c r="E50" i="9" s="1"/>
  <c r="D49" i="9"/>
  <c r="E49" i="9" s="1"/>
  <c r="D48" i="9"/>
  <c r="E48" i="9" s="1"/>
  <c r="D47" i="9"/>
  <c r="E47" i="9" s="1"/>
  <c r="D46" i="9"/>
  <c r="E46" i="9" s="1"/>
  <c r="K9" i="9" s="1"/>
  <c r="D41" i="9"/>
  <c r="E41" i="9" s="1"/>
  <c r="D40" i="9"/>
  <c r="E40" i="9" s="1"/>
  <c r="D39" i="9"/>
  <c r="E39" i="9" s="1"/>
  <c r="D38" i="9"/>
  <c r="E38" i="9" s="1"/>
  <c r="D37" i="9"/>
  <c r="E37" i="9" s="1"/>
  <c r="D36" i="9"/>
  <c r="E36" i="9" s="1"/>
  <c r="D31" i="9"/>
  <c r="E31" i="9" s="1"/>
  <c r="D30" i="9"/>
  <c r="E30" i="9" s="1"/>
  <c r="D29" i="9"/>
  <c r="E29" i="9" s="1"/>
  <c r="D28" i="9"/>
  <c r="E28" i="9" s="1"/>
  <c r="D27" i="9"/>
  <c r="E27" i="9" s="1"/>
  <c r="D26" i="9"/>
  <c r="E26" i="9" s="1"/>
  <c r="K7" i="9" s="1"/>
  <c r="D21" i="9"/>
  <c r="E21" i="9" s="1"/>
  <c r="D20" i="9"/>
  <c r="E20" i="9" s="1"/>
  <c r="D19" i="9"/>
  <c r="E19" i="9" s="1"/>
  <c r="D18" i="9"/>
  <c r="E18" i="9" s="1"/>
  <c r="D17" i="9"/>
  <c r="E17" i="9" s="1"/>
  <c r="D16" i="9"/>
  <c r="E16" i="9" s="1"/>
  <c r="K6" i="9" s="1"/>
  <c r="D11" i="9"/>
  <c r="E11" i="9" s="1"/>
  <c r="D10" i="9"/>
  <c r="E10" i="9" s="1"/>
  <c r="D9" i="9"/>
  <c r="E9" i="9" s="1"/>
  <c r="G9" i="9" s="1"/>
  <c r="D8" i="9"/>
  <c r="E8" i="9" s="1"/>
  <c r="D7" i="9"/>
  <c r="E7" i="9" s="1"/>
  <c r="D6" i="9"/>
  <c r="E6" i="9" s="1"/>
  <c r="K5" i="9" s="1"/>
  <c r="D51" i="8"/>
  <c r="E51" i="8" s="1"/>
  <c r="D50" i="8"/>
  <c r="E50" i="8" s="1"/>
  <c r="D49" i="8"/>
  <c r="E49" i="8" s="1"/>
  <c r="D48" i="8"/>
  <c r="E48" i="8" s="1"/>
  <c r="D47" i="8"/>
  <c r="E47" i="8" s="1"/>
  <c r="D46" i="8"/>
  <c r="E46" i="8" s="1"/>
  <c r="K9" i="8" s="1"/>
  <c r="D41" i="8"/>
  <c r="E41" i="8" s="1"/>
  <c r="D40" i="8"/>
  <c r="E40" i="8" s="1"/>
  <c r="D39" i="8"/>
  <c r="E39" i="8" s="1"/>
  <c r="D38" i="8"/>
  <c r="E38" i="8" s="1"/>
  <c r="D37" i="8"/>
  <c r="E37" i="8" s="1"/>
  <c r="F37" i="8" s="1"/>
  <c r="D36" i="8"/>
  <c r="E36" i="8" s="1"/>
  <c r="K8" i="8" s="1"/>
  <c r="D31" i="8"/>
  <c r="E31" i="8" s="1"/>
  <c r="G31" i="8" s="1"/>
  <c r="D30" i="8"/>
  <c r="E30" i="8" s="1"/>
  <c r="D29" i="8"/>
  <c r="E29" i="8" s="1"/>
  <c r="D28" i="8"/>
  <c r="E28" i="8" s="1"/>
  <c r="D27" i="8"/>
  <c r="E27" i="8" s="1"/>
  <c r="D26" i="8"/>
  <c r="E26" i="8" s="1"/>
  <c r="K7" i="8" s="1"/>
  <c r="D21" i="8"/>
  <c r="E21" i="8" s="1"/>
  <c r="F21" i="8" s="1"/>
  <c r="D20" i="8"/>
  <c r="E20" i="8" s="1"/>
  <c r="D19" i="8"/>
  <c r="E19" i="8" s="1"/>
  <c r="D18" i="8"/>
  <c r="E18" i="8" s="1"/>
  <c r="D17" i="8"/>
  <c r="E17" i="8" s="1"/>
  <c r="D16" i="8"/>
  <c r="E16" i="8" s="1"/>
  <c r="K6" i="8" s="1"/>
  <c r="D11" i="8"/>
  <c r="E11" i="8" s="1"/>
  <c r="D10" i="8"/>
  <c r="E10" i="8" s="1"/>
  <c r="D9" i="8"/>
  <c r="E9" i="8" s="1"/>
  <c r="D8" i="8"/>
  <c r="E8" i="8" s="1"/>
  <c r="D7" i="8"/>
  <c r="E7" i="8" s="1"/>
  <c r="F7" i="8" s="1"/>
  <c r="D6" i="8"/>
  <c r="E6" i="8" s="1"/>
  <c r="K5" i="8" s="1"/>
  <c r="D47" i="7"/>
  <c r="E47" i="7" s="1"/>
  <c r="D48" i="7"/>
  <c r="E48" i="7" s="1"/>
  <c r="D49" i="7"/>
  <c r="E49" i="7" s="1"/>
  <c r="F49" i="7" s="1"/>
  <c r="D50" i="7"/>
  <c r="E50" i="7" s="1"/>
  <c r="D51" i="7"/>
  <c r="E51" i="7" s="1"/>
  <c r="G51" i="7" s="1"/>
  <c r="D46" i="7"/>
  <c r="E46" i="7" s="1"/>
  <c r="D37" i="7"/>
  <c r="E37" i="7" s="1"/>
  <c r="F37" i="7" s="1"/>
  <c r="D38" i="7"/>
  <c r="E38" i="7" s="1"/>
  <c r="D39" i="7"/>
  <c r="E39" i="7" s="1"/>
  <c r="F39" i="7" s="1"/>
  <c r="D40" i="7"/>
  <c r="E40" i="7" s="1"/>
  <c r="D41" i="7"/>
  <c r="E41" i="7" s="1"/>
  <c r="D36" i="7"/>
  <c r="E36" i="7" s="1"/>
  <c r="K7" i="7" s="1"/>
  <c r="D27" i="7"/>
  <c r="E27" i="7" s="1"/>
  <c r="D28" i="7"/>
  <c r="E28" i="7" s="1"/>
  <c r="D29" i="7"/>
  <c r="E29" i="7" s="1"/>
  <c r="D30" i="7"/>
  <c r="E30" i="7" s="1"/>
  <c r="D31" i="7"/>
  <c r="E31" i="7" s="1"/>
  <c r="D26" i="7"/>
  <c r="E26" i="7" s="1"/>
  <c r="D17" i="7"/>
  <c r="E17" i="7" s="1"/>
  <c r="D18" i="7"/>
  <c r="E18" i="7" s="1"/>
  <c r="D19" i="7"/>
  <c r="E19" i="7" s="1"/>
  <c r="D20" i="7"/>
  <c r="E20" i="7" s="1"/>
  <c r="D21" i="7"/>
  <c r="E21" i="7" s="1"/>
  <c r="G21" i="7" s="1"/>
  <c r="D16" i="7"/>
  <c r="E16" i="7" s="1"/>
  <c r="K5" i="7" s="1"/>
  <c r="D7" i="7"/>
  <c r="E7" i="7" s="1"/>
  <c r="D8" i="7"/>
  <c r="E8" i="7" s="1"/>
  <c r="D9" i="7"/>
  <c r="E9" i="7" s="1"/>
  <c r="D10" i="7"/>
  <c r="E10" i="7" s="1"/>
  <c r="F10" i="7" s="1"/>
  <c r="D11" i="7"/>
  <c r="E11" i="7" s="1"/>
  <c r="D6" i="7"/>
  <c r="E6" i="7" s="1"/>
  <c r="K4" i="7" s="1"/>
  <c r="K8" i="7" l="1"/>
  <c r="K6" i="7"/>
  <c r="K8" i="9"/>
  <c r="K9" i="10"/>
  <c r="K8" i="10"/>
  <c r="K9" i="11"/>
  <c r="K9" i="13"/>
  <c r="K5" i="13"/>
  <c r="F26" i="13"/>
  <c r="K7" i="13"/>
  <c r="F16" i="13"/>
  <c r="K6" i="13"/>
  <c r="G36" i="14"/>
  <c r="K8" i="14"/>
  <c r="K8" i="15"/>
  <c r="K8" i="16"/>
  <c r="G46" i="17"/>
  <c r="K9" i="17"/>
  <c r="K9" i="18"/>
  <c r="F28" i="7"/>
  <c r="F11" i="7"/>
  <c r="G11" i="7"/>
  <c r="G19" i="7"/>
  <c r="F19" i="7"/>
  <c r="G27" i="7"/>
  <c r="F6" i="7"/>
  <c r="G6" i="7"/>
  <c r="F36" i="7"/>
  <c r="G29" i="7"/>
  <c r="F18" i="7"/>
  <c r="G18" i="7"/>
  <c r="F9" i="7"/>
  <c r="G9" i="7"/>
  <c r="G17" i="7"/>
  <c r="F17" i="7"/>
  <c r="G8" i="7"/>
  <c r="F8" i="7"/>
  <c r="F40" i="7"/>
  <c r="F20" i="7"/>
  <c r="G31" i="7"/>
  <c r="G7" i="7"/>
  <c r="F7" i="7"/>
  <c r="F16" i="7"/>
  <c r="G16" i="7"/>
  <c r="F38" i="7"/>
  <c r="F26" i="7"/>
  <c r="F30" i="7"/>
  <c r="G10" i="7"/>
  <c r="G30" i="19"/>
  <c r="F30" i="19"/>
  <c r="G46" i="19"/>
  <c r="F46" i="19"/>
  <c r="G31" i="19"/>
  <c r="G47" i="19"/>
  <c r="F6" i="19"/>
  <c r="F37" i="19"/>
  <c r="G37" i="19"/>
  <c r="F49" i="19"/>
  <c r="G49" i="19"/>
  <c r="F26" i="19"/>
  <c r="G26" i="19"/>
  <c r="F38" i="19"/>
  <c r="G38" i="19"/>
  <c r="G50" i="19"/>
  <c r="F50" i="19"/>
  <c r="F10" i="19"/>
  <c r="F18" i="19"/>
  <c r="F21" i="19"/>
  <c r="G10" i="19"/>
  <c r="G21" i="19"/>
  <c r="F30" i="18"/>
  <c r="G50" i="18"/>
  <c r="F50" i="18"/>
  <c r="G26" i="18"/>
  <c r="F26" i="18"/>
  <c r="G38" i="18"/>
  <c r="F46" i="18"/>
  <c r="F10" i="18"/>
  <c r="G10" i="18"/>
  <c r="F38" i="18"/>
  <c r="G48" i="17"/>
  <c r="F48" i="17"/>
  <c r="G7" i="17"/>
  <c r="G30" i="17"/>
  <c r="F19" i="17"/>
  <c r="G19" i="17"/>
  <c r="G31" i="17"/>
  <c r="F31" i="17"/>
  <c r="F49" i="17"/>
  <c r="F18" i="17"/>
  <c r="G18" i="17"/>
  <c r="G47" i="17"/>
  <c r="F47" i="17"/>
  <c r="G50" i="17"/>
  <c r="F50" i="17"/>
  <c r="F6" i="17"/>
  <c r="G6" i="17"/>
  <c r="G36" i="17"/>
  <c r="F36" i="17"/>
  <c r="F21" i="17"/>
  <c r="G8" i="17"/>
  <c r="G21" i="17"/>
  <c r="G37" i="17"/>
  <c r="F7" i="17"/>
  <c r="G9" i="17"/>
  <c r="F26" i="17"/>
  <c r="L7" i="17" s="1"/>
  <c r="F30" i="17"/>
  <c r="F38" i="17"/>
  <c r="F46" i="17"/>
  <c r="L9" i="17" s="1"/>
  <c r="G26" i="17"/>
  <c r="M7" i="17" s="1"/>
  <c r="N7" i="17" s="1"/>
  <c r="O7" i="17" s="1"/>
  <c r="G38" i="17"/>
  <c r="F36" i="16"/>
  <c r="G36" i="16"/>
  <c r="G47" i="16"/>
  <c r="F47" i="16"/>
  <c r="F48" i="16"/>
  <c r="G48" i="16"/>
  <c r="F8" i="15"/>
  <c r="G8" i="15"/>
  <c r="F20" i="15"/>
  <c r="G20" i="15"/>
  <c r="F36" i="15"/>
  <c r="G36" i="15"/>
  <c r="F10" i="15"/>
  <c r="G10" i="15"/>
  <c r="F26" i="15"/>
  <c r="G26" i="15"/>
  <c r="F38" i="15"/>
  <c r="G38" i="15"/>
  <c r="F50" i="15"/>
  <c r="G50" i="15"/>
  <c r="G8" i="14"/>
  <c r="G20" i="14"/>
  <c r="F49" i="14"/>
  <c r="G19" i="14"/>
  <c r="F19" i="14"/>
  <c r="G26" i="14"/>
  <c r="F26" i="14"/>
  <c r="G10" i="14"/>
  <c r="F10" i="14"/>
  <c r="G48" i="14"/>
  <c r="F48" i="14"/>
  <c r="F50" i="14"/>
  <c r="G50" i="14"/>
  <c r="F36" i="14"/>
  <c r="F9" i="14"/>
  <c r="F21" i="14"/>
  <c r="F38" i="14"/>
  <c r="F47" i="14"/>
  <c r="G9" i="14"/>
  <c r="G21" i="14"/>
  <c r="G47" i="14"/>
  <c r="F8" i="14"/>
  <c r="F20" i="14"/>
  <c r="F37" i="14"/>
  <c r="G49" i="14"/>
  <c r="G19" i="13"/>
  <c r="G26" i="13"/>
  <c r="G21" i="13"/>
  <c r="F21" i="13"/>
  <c r="F50" i="13"/>
  <c r="G50" i="13"/>
  <c r="G7" i="13"/>
  <c r="G37" i="13"/>
  <c r="F37" i="13"/>
  <c r="G47" i="13"/>
  <c r="F10" i="13"/>
  <c r="G10" i="13"/>
  <c r="F49" i="13"/>
  <c r="G38" i="13"/>
  <c r="G20" i="12"/>
  <c r="F20" i="12"/>
  <c r="F30" i="12"/>
  <c r="G30" i="12"/>
  <c r="G31" i="12"/>
  <c r="F31" i="12"/>
  <c r="G46" i="12"/>
  <c r="F46" i="12"/>
  <c r="G7" i="12"/>
  <c r="F7" i="12"/>
  <c r="G18" i="12"/>
  <c r="F18" i="12"/>
  <c r="F19" i="12"/>
  <c r="G19" i="12"/>
  <c r="G36" i="12"/>
  <c r="F36" i="12"/>
  <c r="F6" i="12"/>
  <c r="G6" i="12"/>
  <c r="F8" i="12"/>
  <c r="G47" i="12"/>
  <c r="F48" i="12"/>
  <c r="F31" i="11"/>
  <c r="F9" i="11"/>
  <c r="G47" i="11"/>
  <c r="G7" i="11"/>
  <c r="G19" i="11"/>
  <c r="G49" i="11"/>
  <c r="G31" i="11"/>
  <c r="G28" i="10"/>
  <c r="G18" i="10"/>
  <c r="F18" i="10"/>
  <c r="G40" i="10"/>
  <c r="G16" i="10"/>
  <c r="G30" i="10"/>
  <c r="F30" i="10"/>
  <c r="G46" i="10"/>
  <c r="F46" i="10"/>
  <c r="G46" i="9"/>
  <c r="F46" i="9"/>
  <c r="G37" i="9"/>
  <c r="F37" i="9"/>
  <c r="G49" i="9"/>
  <c r="F49" i="9"/>
  <c r="G38" i="9"/>
  <c r="G50" i="9"/>
  <c r="G47" i="9"/>
  <c r="F9" i="9"/>
  <c r="G26" i="9"/>
  <c r="G10" i="9"/>
  <c r="G8" i="19"/>
  <c r="F8" i="19"/>
  <c r="G16" i="19"/>
  <c r="F16" i="19"/>
  <c r="F9" i="19"/>
  <c r="G9" i="19"/>
  <c r="G17" i="19"/>
  <c r="F17" i="19"/>
  <c r="G20" i="19"/>
  <c r="F20" i="19"/>
  <c r="G41" i="19"/>
  <c r="F41" i="19"/>
  <c r="G48" i="19"/>
  <c r="F48" i="19"/>
  <c r="G40" i="19"/>
  <c r="F40" i="19"/>
  <c r="G28" i="19"/>
  <c r="F28" i="19"/>
  <c r="G29" i="19"/>
  <c r="F29" i="19"/>
  <c r="G36" i="19"/>
  <c r="F36" i="19"/>
  <c r="L8" i="19" s="1"/>
  <c r="F27" i="19"/>
  <c r="F51" i="19"/>
  <c r="G11" i="19"/>
  <c r="G27" i="19"/>
  <c r="G39" i="19"/>
  <c r="G51" i="19"/>
  <c r="F11" i="19"/>
  <c r="G6" i="19"/>
  <c r="F7" i="19"/>
  <c r="F19" i="19"/>
  <c r="F31" i="19"/>
  <c r="F47" i="19"/>
  <c r="G7" i="19"/>
  <c r="G48" i="18"/>
  <c r="F48" i="18"/>
  <c r="G36" i="18"/>
  <c r="F36" i="18"/>
  <c r="G40" i="18"/>
  <c r="F40" i="18"/>
  <c r="F49" i="18"/>
  <c r="G49" i="18"/>
  <c r="G6" i="18"/>
  <c r="F6" i="18"/>
  <c r="G20" i="18"/>
  <c r="F20" i="18"/>
  <c r="G28" i="18"/>
  <c r="F28" i="18"/>
  <c r="F37" i="18"/>
  <c r="G37" i="18"/>
  <c r="G41" i="18"/>
  <c r="F41" i="18"/>
  <c r="G29" i="18"/>
  <c r="F29" i="18"/>
  <c r="G8" i="18"/>
  <c r="F8" i="18"/>
  <c r="G16" i="18"/>
  <c r="F16" i="18"/>
  <c r="F9" i="18"/>
  <c r="G9" i="18"/>
  <c r="G17" i="18"/>
  <c r="F17" i="18"/>
  <c r="F21" i="18"/>
  <c r="G21" i="18"/>
  <c r="G18" i="18"/>
  <c r="F18" i="18"/>
  <c r="F27" i="18"/>
  <c r="F39" i="18"/>
  <c r="F51" i="18"/>
  <c r="G11" i="18"/>
  <c r="G27" i="18"/>
  <c r="G39" i="18"/>
  <c r="G51" i="18"/>
  <c r="F7" i="18"/>
  <c r="F19" i="18"/>
  <c r="G30" i="18"/>
  <c r="F31" i="18"/>
  <c r="G46" i="18"/>
  <c r="F47" i="18"/>
  <c r="G7" i="18"/>
  <c r="G19" i="18"/>
  <c r="G31" i="18"/>
  <c r="G47" i="18"/>
  <c r="G20" i="17"/>
  <c r="F20" i="17"/>
  <c r="G10" i="17"/>
  <c r="F10" i="17"/>
  <c r="G28" i="17"/>
  <c r="F28" i="17"/>
  <c r="G40" i="17"/>
  <c r="F40" i="17"/>
  <c r="G16" i="17"/>
  <c r="F16" i="17"/>
  <c r="L6" i="17" s="1"/>
  <c r="G29" i="17"/>
  <c r="F29" i="17"/>
  <c r="G41" i="17"/>
  <c r="F41" i="17"/>
  <c r="G17" i="17"/>
  <c r="F17" i="17"/>
  <c r="F11" i="17"/>
  <c r="F27" i="17"/>
  <c r="F51" i="17"/>
  <c r="G11" i="17"/>
  <c r="G27" i="17"/>
  <c r="G39" i="17"/>
  <c r="G51" i="17"/>
  <c r="G28" i="16"/>
  <c r="F28" i="16"/>
  <c r="F10" i="16"/>
  <c r="G10" i="16"/>
  <c r="G20" i="16"/>
  <c r="F20" i="16"/>
  <c r="G46" i="16"/>
  <c r="F46" i="16"/>
  <c r="G8" i="16"/>
  <c r="F8" i="16"/>
  <c r="G30" i="16"/>
  <c r="F30" i="16"/>
  <c r="F31" i="16"/>
  <c r="G31" i="16"/>
  <c r="F38" i="16"/>
  <c r="G38" i="16"/>
  <c r="G6" i="16"/>
  <c r="F6" i="16"/>
  <c r="G16" i="16"/>
  <c r="F16" i="16"/>
  <c r="G26" i="16"/>
  <c r="F26" i="16"/>
  <c r="G40" i="16"/>
  <c r="F40" i="16"/>
  <c r="F7" i="16"/>
  <c r="G7" i="16"/>
  <c r="F50" i="16"/>
  <c r="G50" i="16"/>
  <c r="G18" i="16"/>
  <c r="F18" i="16"/>
  <c r="F19" i="16"/>
  <c r="G19" i="16"/>
  <c r="G37" i="16"/>
  <c r="F11" i="16"/>
  <c r="F27" i="16"/>
  <c r="F39" i="16"/>
  <c r="F51" i="16"/>
  <c r="G11" i="16"/>
  <c r="G27" i="16"/>
  <c r="G39" i="16"/>
  <c r="G51" i="16"/>
  <c r="F17" i="16"/>
  <c r="F29" i="16"/>
  <c r="F41" i="16"/>
  <c r="G17" i="16"/>
  <c r="G29" i="16"/>
  <c r="G41" i="16"/>
  <c r="G9" i="16"/>
  <c r="G21" i="16"/>
  <c r="G49" i="16"/>
  <c r="G48" i="15"/>
  <c r="F48" i="15"/>
  <c r="F49" i="15"/>
  <c r="G49" i="15"/>
  <c r="F17" i="15"/>
  <c r="G17" i="15"/>
  <c r="F21" i="15"/>
  <c r="G21" i="15"/>
  <c r="G29" i="15"/>
  <c r="F29" i="15"/>
  <c r="F37" i="15"/>
  <c r="G37" i="15"/>
  <c r="G41" i="15"/>
  <c r="F41" i="15"/>
  <c r="G16" i="15"/>
  <c r="F16" i="15"/>
  <c r="G28" i="15"/>
  <c r="F28" i="15"/>
  <c r="G40" i="15"/>
  <c r="F40" i="15"/>
  <c r="F9" i="15"/>
  <c r="G9" i="15"/>
  <c r="G7" i="15"/>
  <c r="F7" i="15"/>
  <c r="G19" i="15"/>
  <c r="F19" i="15"/>
  <c r="G31" i="15"/>
  <c r="F31" i="15"/>
  <c r="G47" i="15"/>
  <c r="F47" i="15"/>
  <c r="F27" i="15"/>
  <c r="F39" i="15"/>
  <c r="F51" i="15"/>
  <c r="G11" i="15"/>
  <c r="G27" i="15"/>
  <c r="G39" i="15"/>
  <c r="G51" i="15"/>
  <c r="F6" i="15"/>
  <c r="F18" i="15"/>
  <c r="F30" i="15"/>
  <c r="F46" i="15"/>
  <c r="L9" i="15" s="1"/>
  <c r="G6" i="15"/>
  <c r="M5" i="15" s="1"/>
  <c r="N5" i="15" s="1"/>
  <c r="O5" i="15" s="1"/>
  <c r="G18" i="15"/>
  <c r="G30" i="15"/>
  <c r="G46" i="15"/>
  <c r="M9" i="15" s="1"/>
  <c r="N9" i="15" s="1"/>
  <c r="O9" i="15" s="1"/>
  <c r="F11" i="15"/>
  <c r="G40" i="14"/>
  <c r="F40" i="14"/>
  <c r="G41" i="14"/>
  <c r="F41" i="14"/>
  <c r="G46" i="14"/>
  <c r="F46" i="14"/>
  <c r="L9" i="14" s="1"/>
  <c r="G31" i="14"/>
  <c r="F31" i="14"/>
  <c r="G7" i="14"/>
  <c r="F7" i="14"/>
  <c r="F16" i="14"/>
  <c r="G16" i="14"/>
  <c r="F28" i="14"/>
  <c r="G28" i="14"/>
  <c r="G17" i="14"/>
  <c r="F17" i="14"/>
  <c r="G29" i="14"/>
  <c r="F29" i="14"/>
  <c r="G6" i="14"/>
  <c r="F6" i="14"/>
  <c r="L5" i="14" s="1"/>
  <c r="G18" i="14"/>
  <c r="F18" i="14"/>
  <c r="G30" i="14"/>
  <c r="F30" i="14"/>
  <c r="G39" i="14"/>
  <c r="G51" i="14"/>
  <c r="G27" i="14"/>
  <c r="G11" i="14"/>
  <c r="G41" i="13"/>
  <c r="F41" i="13"/>
  <c r="G46" i="13"/>
  <c r="F46" i="13"/>
  <c r="G18" i="13"/>
  <c r="F18" i="13"/>
  <c r="F11" i="13"/>
  <c r="G11" i="13"/>
  <c r="G20" i="13"/>
  <c r="F20" i="13"/>
  <c r="G29" i="13"/>
  <c r="F29" i="13"/>
  <c r="G27" i="13"/>
  <c r="F27" i="13"/>
  <c r="G36" i="13"/>
  <c r="F36" i="13"/>
  <c r="G30" i="13"/>
  <c r="F30" i="13"/>
  <c r="G6" i="13"/>
  <c r="F6" i="13"/>
  <c r="F8" i="13"/>
  <c r="G8" i="13"/>
  <c r="G39" i="13"/>
  <c r="F39" i="13"/>
  <c r="G48" i="13"/>
  <c r="F48" i="13"/>
  <c r="F9" i="13"/>
  <c r="G9" i="13"/>
  <c r="G17" i="13"/>
  <c r="F17" i="13"/>
  <c r="F51" i="13"/>
  <c r="G51" i="13"/>
  <c r="F28" i="13"/>
  <c r="F40" i="13"/>
  <c r="G16" i="13"/>
  <c r="M6" i="13" s="1"/>
  <c r="N6" i="13" s="1"/>
  <c r="O6" i="13" s="1"/>
  <c r="G28" i="13"/>
  <c r="G40" i="13"/>
  <c r="F7" i="13"/>
  <c r="F19" i="13"/>
  <c r="F31" i="13"/>
  <c r="F47" i="13"/>
  <c r="G50" i="12"/>
  <c r="F50" i="12"/>
  <c r="G51" i="12"/>
  <c r="F51" i="12"/>
  <c r="G10" i="12"/>
  <c r="F10" i="12"/>
  <c r="G29" i="12"/>
  <c r="F29" i="12"/>
  <c r="G41" i="12"/>
  <c r="F41" i="12"/>
  <c r="F11" i="12"/>
  <c r="G11" i="12"/>
  <c r="G38" i="12"/>
  <c r="F38" i="12"/>
  <c r="F39" i="12"/>
  <c r="G39" i="12"/>
  <c r="G27" i="12"/>
  <c r="F27" i="12"/>
  <c r="G17" i="12"/>
  <c r="F17" i="12"/>
  <c r="G26" i="12"/>
  <c r="F26" i="12"/>
  <c r="F9" i="12"/>
  <c r="F21" i="12"/>
  <c r="G9" i="12"/>
  <c r="G21" i="12"/>
  <c r="G37" i="12"/>
  <c r="G49" i="12"/>
  <c r="F16" i="12"/>
  <c r="L6" i="12" s="1"/>
  <c r="F28" i="12"/>
  <c r="F40" i="12"/>
  <c r="G16" i="12"/>
  <c r="M6" i="12" s="1"/>
  <c r="N6" i="12" s="1"/>
  <c r="O6" i="12" s="1"/>
  <c r="G28" i="12"/>
  <c r="G40" i="12"/>
  <c r="F8" i="11"/>
  <c r="G8" i="11"/>
  <c r="G16" i="11"/>
  <c r="F16" i="11"/>
  <c r="G20" i="11"/>
  <c r="F20" i="11"/>
  <c r="G30" i="11"/>
  <c r="F30" i="11"/>
  <c r="G38" i="11"/>
  <c r="F38" i="11"/>
  <c r="G6" i="11"/>
  <c r="F6" i="11"/>
  <c r="G18" i="11"/>
  <c r="F18" i="11"/>
  <c r="G26" i="11"/>
  <c r="F26" i="11"/>
  <c r="G48" i="11"/>
  <c r="F48" i="11"/>
  <c r="G40" i="11"/>
  <c r="F40" i="11"/>
  <c r="G28" i="11"/>
  <c r="F28" i="11"/>
  <c r="G36" i="11"/>
  <c r="F36" i="11"/>
  <c r="G46" i="11"/>
  <c r="F46" i="11"/>
  <c r="G50" i="11"/>
  <c r="F50" i="11"/>
  <c r="G9" i="11"/>
  <c r="F10" i="11"/>
  <c r="G21" i="11"/>
  <c r="G37" i="11"/>
  <c r="G10" i="11"/>
  <c r="F11" i="11"/>
  <c r="F27" i="11"/>
  <c r="F39" i="11"/>
  <c r="F51" i="11"/>
  <c r="G39" i="11"/>
  <c r="G51" i="11"/>
  <c r="G11" i="11"/>
  <c r="G27" i="11"/>
  <c r="F17" i="11"/>
  <c r="F29" i="11"/>
  <c r="F41" i="11"/>
  <c r="G17" i="11"/>
  <c r="G29" i="11"/>
  <c r="G41" i="11"/>
  <c r="F47" i="11"/>
  <c r="G10" i="10"/>
  <c r="F10" i="10"/>
  <c r="G26" i="10"/>
  <c r="F26" i="10"/>
  <c r="G38" i="10"/>
  <c r="F38" i="10"/>
  <c r="G50" i="10"/>
  <c r="F50" i="10"/>
  <c r="F11" i="10"/>
  <c r="G11" i="10"/>
  <c r="G27" i="10"/>
  <c r="F27" i="10"/>
  <c r="G39" i="10"/>
  <c r="F39" i="10"/>
  <c r="F51" i="10"/>
  <c r="G51" i="10"/>
  <c r="G6" i="10"/>
  <c r="F6" i="10"/>
  <c r="G8" i="10"/>
  <c r="F8" i="10"/>
  <c r="F17" i="10"/>
  <c r="G17" i="10"/>
  <c r="F20" i="10"/>
  <c r="G20" i="10"/>
  <c r="G29" i="10"/>
  <c r="F29" i="10"/>
  <c r="G36" i="10"/>
  <c r="F36" i="10"/>
  <c r="G41" i="10"/>
  <c r="F41" i="10"/>
  <c r="G48" i="10"/>
  <c r="F48" i="10"/>
  <c r="G9" i="10"/>
  <c r="G21" i="10"/>
  <c r="G37" i="10"/>
  <c r="G49" i="10"/>
  <c r="G19" i="10"/>
  <c r="F16" i="10"/>
  <c r="F28" i="10"/>
  <c r="F40" i="10"/>
  <c r="F7" i="10"/>
  <c r="F19" i="10"/>
  <c r="F31" i="10"/>
  <c r="F47" i="10"/>
  <c r="G7" i="10"/>
  <c r="G47" i="10"/>
  <c r="G31" i="10"/>
  <c r="G41" i="9"/>
  <c r="F41" i="9"/>
  <c r="G48" i="9"/>
  <c r="F48" i="9"/>
  <c r="F51" i="9"/>
  <c r="G51" i="9"/>
  <c r="G20" i="9"/>
  <c r="F20" i="9"/>
  <c r="G29" i="9"/>
  <c r="F29" i="9"/>
  <c r="G8" i="9"/>
  <c r="F8" i="9"/>
  <c r="F21" i="9"/>
  <c r="G21" i="9"/>
  <c r="G30" i="9"/>
  <c r="F30" i="9"/>
  <c r="G11" i="9"/>
  <c r="F11" i="9"/>
  <c r="F39" i="9"/>
  <c r="G39" i="9"/>
  <c r="G18" i="9"/>
  <c r="F18" i="9"/>
  <c r="G27" i="9"/>
  <c r="F27" i="9"/>
  <c r="G17" i="9"/>
  <c r="F17" i="9"/>
  <c r="G36" i="9"/>
  <c r="F36" i="9"/>
  <c r="G6" i="9"/>
  <c r="F6" i="9"/>
  <c r="F10" i="9"/>
  <c r="F26" i="9"/>
  <c r="F38" i="9"/>
  <c r="F50" i="9"/>
  <c r="F16" i="9"/>
  <c r="F28" i="9"/>
  <c r="F40" i="9"/>
  <c r="G16" i="9"/>
  <c r="G28" i="9"/>
  <c r="G40" i="9"/>
  <c r="F7" i="9"/>
  <c r="F19" i="9"/>
  <c r="F31" i="9"/>
  <c r="F47" i="9"/>
  <c r="G7" i="9"/>
  <c r="G19" i="9"/>
  <c r="G31" i="9"/>
  <c r="G46" i="8"/>
  <c r="F46" i="8"/>
  <c r="F19" i="8"/>
  <c r="G19" i="8"/>
  <c r="F49" i="8"/>
  <c r="G16" i="8"/>
  <c r="G28" i="8"/>
  <c r="G6" i="8"/>
  <c r="F6" i="8"/>
  <c r="G29" i="8"/>
  <c r="F29" i="8"/>
  <c r="G30" i="8"/>
  <c r="F30" i="8"/>
  <c r="F51" i="8"/>
  <c r="G51" i="8"/>
  <c r="G8" i="8"/>
  <c r="F8" i="8"/>
  <c r="G17" i="8"/>
  <c r="F17" i="8"/>
  <c r="G26" i="8"/>
  <c r="F26" i="8"/>
  <c r="G41" i="8"/>
  <c r="F41" i="8"/>
  <c r="G18" i="8"/>
  <c r="F18" i="8"/>
  <c r="F27" i="8"/>
  <c r="G27" i="8"/>
  <c r="G36" i="8"/>
  <c r="F36" i="8"/>
  <c r="G10" i="8"/>
  <c r="F10" i="8"/>
  <c r="G11" i="8"/>
  <c r="F11" i="8"/>
  <c r="G38" i="8"/>
  <c r="F38" i="8"/>
  <c r="F20" i="8"/>
  <c r="G20" i="8"/>
  <c r="F39" i="8"/>
  <c r="G39" i="8"/>
  <c r="G48" i="8"/>
  <c r="F48" i="8"/>
  <c r="F9" i="8"/>
  <c r="G9" i="8"/>
  <c r="G21" i="8"/>
  <c r="G37" i="8"/>
  <c r="G49" i="8"/>
  <c r="F50" i="8"/>
  <c r="G7" i="8"/>
  <c r="G50" i="8"/>
  <c r="F16" i="8"/>
  <c r="L6" i="8" s="1"/>
  <c r="F28" i="8"/>
  <c r="F40" i="8"/>
  <c r="G40" i="8"/>
  <c r="F31" i="8"/>
  <c r="F47" i="8"/>
  <c r="G47" i="8"/>
  <c r="F47" i="7"/>
  <c r="G49" i="7"/>
  <c r="F46" i="7"/>
  <c r="F48" i="7"/>
  <c r="F50" i="7"/>
  <c r="F51" i="7"/>
  <c r="G46" i="7"/>
  <c r="G48" i="7"/>
  <c r="G50" i="7"/>
  <c r="G47" i="7"/>
  <c r="F41" i="7"/>
  <c r="G37" i="7"/>
  <c r="G39" i="7"/>
  <c r="G41" i="7"/>
  <c r="G36" i="7"/>
  <c r="G38" i="7"/>
  <c r="G40" i="7"/>
  <c r="G26" i="7"/>
  <c r="G28" i="7"/>
  <c r="G30" i="7"/>
  <c r="F27" i="7"/>
  <c r="F29" i="7"/>
  <c r="F31" i="7"/>
  <c r="G20" i="7"/>
  <c r="F21" i="7"/>
  <c r="L7" i="7" l="1"/>
  <c r="L9" i="8"/>
  <c r="M6" i="8"/>
  <c r="N6" i="8" s="1"/>
  <c r="O6" i="8" s="1"/>
  <c r="L5" i="8"/>
  <c r="M7" i="8"/>
  <c r="N7" i="8" s="1"/>
  <c r="O7" i="8" s="1"/>
  <c r="M8" i="8"/>
  <c r="N8" i="8" s="1"/>
  <c r="O8" i="8" s="1"/>
  <c r="M9" i="8"/>
  <c r="N9" i="8" s="1"/>
  <c r="O9" i="8" s="1"/>
  <c r="M5" i="8"/>
  <c r="N5" i="8" s="1"/>
  <c r="O5" i="8" s="1"/>
  <c r="L7" i="8"/>
  <c r="L8" i="8"/>
  <c r="L8" i="9"/>
  <c r="M7" i="9"/>
  <c r="N7" i="9" s="1"/>
  <c r="O7" i="9" s="1"/>
  <c r="L5" i="9"/>
  <c r="M5" i="9"/>
  <c r="N5" i="9" s="1"/>
  <c r="O5" i="9" s="1"/>
  <c r="M6" i="10"/>
  <c r="N6" i="10" s="1"/>
  <c r="O6" i="10" s="1"/>
  <c r="M9" i="10"/>
  <c r="N9" i="10" s="1"/>
  <c r="O9" i="10" s="1"/>
  <c r="L9" i="10"/>
  <c r="M7" i="10"/>
  <c r="N7" i="10" s="1"/>
  <c r="O7" i="10" s="1"/>
  <c r="L7" i="10"/>
  <c r="M5" i="10"/>
  <c r="N5" i="10" s="1"/>
  <c r="O5" i="10" s="1"/>
  <c r="L5" i="10"/>
  <c r="M8" i="10"/>
  <c r="N8" i="10" s="1"/>
  <c r="O8" i="10" s="1"/>
  <c r="L8" i="10"/>
  <c r="L6" i="10"/>
  <c r="M6" i="11"/>
  <c r="N6" i="11" s="1"/>
  <c r="O6" i="11" s="1"/>
  <c r="M5" i="11"/>
  <c r="N5" i="11" s="1"/>
  <c r="O5" i="11" s="1"/>
  <c r="L7" i="11"/>
  <c r="L8" i="11"/>
  <c r="L9" i="11"/>
  <c r="L6" i="11"/>
  <c r="L5" i="11"/>
  <c r="M7" i="11"/>
  <c r="N7" i="11" s="1"/>
  <c r="O7" i="11" s="1"/>
  <c r="M8" i="11"/>
  <c r="N8" i="11" s="1"/>
  <c r="O8" i="11" s="1"/>
  <c r="M9" i="11"/>
  <c r="N9" i="11" s="1"/>
  <c r="O9" i="11" s="1"/>
  <c r="M9" i="12"/>
  <c r="N9" i="12" s="1"/>
  <c r="O9" i="12" s="1"/>
  <c r="L9" i="12"/>
  <c r="M8" i="12"/>
  <c r="N8" i="12" s="1"/>
  <c r="O8" i="12" s="1"/>
  <c r="L8" i="12"/>
  <c r="L5" i="12"/>
  <c r="M5" i="12"/>
  <c r="N5" i="12" s="1"/>
  <c r="O5" i="12" s="1"/>
  <c r="M7" i="12"/>
  <c r="N7" i="12" s="1"/>
  <c r="O7" i="12" s="1"/>
  <c r="L7" i="12"/>
  <c r="M7" i="13"/>
  <c r="N7" i="13" s="1"/>
  <c r="O7" i="13" s="1"/>
  <c r="M9" i="13"/>
  <c r="N9" i="13" s="1"/>
  <c r="O9" i="13" s="1"/>
  <c r="L9" i="13"/>
  <c r="M8" i="13"/>
  <c r="N8" i="13" s="1"/>
  <c r="O8" i="13" s="1"/>
  <c r="L8" i="13"/>
  <c r="M5" i="13"/>
  <c r="N5" i="13" s="1"/>
  <c r="O5" i="13" s="1"/>
  <c r="L5" i="13"/>
  <c r="L7" i="13"/>
  <c r="L6" i="13"/>
  <c r="M7" i="14"/>
  <c r="N7" i="14" s="1"/>
  <c r="O7" i="14" s="1"/>
  <c r="L6" i="14"/>
  <c r="L7" i="14"/>
  <c r="M6" i="14"/>
  <c r="N6" i="14" s="1"/>
  <c r="O6" i="14" s="1"/>
  <c r="L8" i="14"/>
  <c r="M9" i="14"/>
  <c r="N9" i="14" s="1"/>
  <c r="O9" i="14" s="1"/>
  <c r="M5" i="14"/>
  <c r="N5" i="14" s="1"/>
  <c r="O5" i="14" s="1"/>
  <c r="M8" i="14"/>
  <c r="N8" i="14" s="1"/>
  <c r="O8" i="14" s="1"/>
  <c r="L8" i="15"/>
  <c r="M8" i="15"/>
  <c r="N8" i="15" s="1"/>
  <c r="O8" i="15" s="1"/>
  <c r="L7" i="15"/>
  <c r="M7" i="15"/>
  <c r="N7" i="15" s="1"/>
  <c r="O7" i="15" s="1"/>
  <c r="M6" i="15"/>
  <c r="N6" i="15" s="1"/>
  <c r="O6" i="15" s="1"/>
  <c r="L6" i="15"/>
  <c r="L5" i="15"/>
  <c r="L8" i="16"/>
  <c r="M8" i="16"/>
  <c r="N8" i="16" s="1"/>
  <c r="O8" i="16" s="1"/>
  <c r="M5" i="16"/>
  <c r="N5" i="16" s="1"/>
  <c r="O5" i="16" s="1"/>
  <c r="M6" i="16"/>
  <c r="N6" i="16" s="1"/>
  <c r="O6" i="16" s="1"/>
  <c r="L7" i="16"/>
  <c r="M9" i="16"/>
  <c r="N9" i="16" s="1"/>
  <c r="O9" i="16" s="1"/>
  <c r="L9" i="16"/>
  <c r="L5" i="16"/>
  <c r="L6" i="16"/>
  <c r="M7" i="16"/>
  <c r="N7" i="16" s="1"/>
  <c r="O7" i="16" s="1"/>
  <c r="M6" i="17"/>
  <c r="N6" i="17" s="1"/>
  <c r="O6" i="17" s="1"/>
  <c r="M5" i="17"/>
  <c r="N5" i="17" s="1"/>
  <c r="O5" i="17" s="1"/>
  <c r="M8" i="17"/>
  <c r="N8" i="17" s="1"/>
  <c r="O8" i="17" s="1"/>
  <c r="L5" i="17"/>
  <c r="L8" i="17"/>
  <c r="M9" i="17"/>
  <c r="N9" i="17" s="1"/>
  <c r="O9" i="17" s="1"/>
  <c r="M8" i="18"/>
  <c r="N8" i="18" s="1"/>
  <c r="O8" i="18" s="1"/>
  <c r="L8" i="18"/>
  <c r="M5" i="18"/>
  <c r="N5" i="18" s="1"/>
  <c r="O5" i="18" s="1"/>
  <c r="L5" i="18"/>
  <c r="M6" i="18"/>
  <c r="N6" i="18" s="1"/>
  <c r="O6" i="18" s="1"/>
  <c r="L6" i="18"/>
  <c r="M9" i="18"/>
  <c r="N9" i="18" s="1"/>
  <c r="O9" i="18" s="1"/>
  <c r="M7" i="18"/>
  <c r="N7" i="18" s="1"/>
  <c r="O7" i="18" s="1"/>
  <c r="L9" i="18"/>
  <c r="L7" i="18"/>
  <c r="M9" i="19"/>
  <c r="N9" i="19" s="1"/>
  <c r="O9" i="19" s="1"/>
  <c r="L9" i="19"/>
  <c r="L5" i="19"/>
  <c r="L7" i="19"/>
  <c r="M7" i="19"/>
  <c r="N7" i="19" s="1"/>
  <c r="O7" i="19" s="1"/>
  <c r="M6" i="19"/>
  <c r="N6" i="19" s="1"/>
  <c r="O6" i="19" s="1"/>
  <c r="L6" i="19"/>
  <c r="M8" i="19"/>
  <c r="N8" i="19" s="1"/>
  <c r="O8" i="19" s="1"/>
  <c r="M5" i="19"/>
  <c r="N5" i="19" s="1"/>
  <c r="O5" i="19" s="1"/>
  <c r="M8" i="7"/>
  <c r="N8" i="7" s="1"/>
  <c r="O8" i="7" s="1"/>
  <c r="M8" i="9"/>
  <c r="N8" i="9" s="1"/>
  <c r="O8" i="9" s="1"/>
  <c r="L9" i="9"/>
  <c r="M6" i="9"/>
  <c r="N6" i="9" s="1"/>
  <c r="O6" i="9" s="1"/>
  <c r="M9" i="9"/>
  <c r="N9" i="9" s="1"/>
  <c r="O9" i="9" s="1"/>
  <c r="L6" i="9"/>
  <c r="L7" i="9"/>
  <c r="L6" i="7"/>
  <c r="M4" i="7"/>
  <c r="N4" i="7" s="1"/>
  <c r="O4" i="7" s="1"/>
  <c r="M6" i="7"/>
  <c r="N6" i="7" s="1"/>
  <c r="O6" i="7" s="1"/>
  <c r="L4" i="7"/>
  <c r="L8" i="7"/>
  <c r="M7" i="7"/>
  <c r="N7" i="7" s="1"/>
  <c r="O7" i="7" s="1"/>
  <c r="M5" i="7"/>
  <c r="N5" i="7" s="1"/>
  <c r="O5" i="7" s="1"/>
  <c r="L5" i="7"/>
</calcChain>
</file>

<file path=xl/sharedStrings.xml><?xml version="1.0" encoding="utf-8"?>
<sst xmlns="http://schemas.openxmlformats.org/spreadsheetml/2006/main" count="865" uniqueCount="351">
  <si>
    <t>Sampling time</t>
  </si>
  <si>
    <t>T  (°C)</t>
  </si>
  <si>
    <t>pH</t>
  </si>
  <si>
    <t>5.32</t>
  </si>
  <si>
    <t>0.01</t>
  </si>
  <si>
    <t>13.413</t>
  </si>
  <si>
    <t>6.04</t>
  </si>
  <si>
    <t>7.418</t>
  </si>
  <si>
    <t>256.3</t>
  </si>
  <si>
    <t>0.348</t>
  </si>
  <si>
    <t>0.237</t>
  </si>
  <si>
    <t>13.15</t>
  </si>
  <si>
    <t>13.06</t>
  </si>
  <si>
    <t>7.356</t>
  </si>
  <si>
    <t>261.9</t>
  </si>
  <si>
    <t>2.2</t>
  </si>
  <si>
    <t>642.4</t>
  </si>
  <si>
    <t>0.345</t>
  </si>
  <si>
    <t>323.4</t>
  </si>
  <si>
    <t>14.15</t>
  </si>
  <si>
    <t>6.26</t>
  </si>
  <si>
    <t>7.64</t>
  </si>
  <si>
    <t>242.9</t>
  </si>
  <si>
    <t>1.59</t>
  </si>
  <si>
    <t>0.343</t>
  </si>
  <si>
    <t>323.5</t>
  </si>
  <si>
    <t>3.78</t>
  </si>
  <si>
    <t>0.02</t>
  </si>
  <si>
    <t>14.6</t>
  </si>
  <si>
    <t>6.01</t>
  </si>
  <si>
    <t>7.76</t>
  </si>
  <si>
    <t>247.2</t>
  </si>
  <si>
    <t>4.13</t>
  </si>
  <si>
    <t>323.2</t>
  </si>
  <si>
    <t>4.76</t>
  </si>
  <si>
    <t>14.7</t>
  </si>
  <si>
    <t>6.1</t>
  </si>
  <si>
    <t>7.848</t>
  </si>
  <si>
    <t>257.9</t>
  </si>
  <si>
    <t>0.986</t>
  </si>
  <si>
    <t>642.1</t>
  </si>
  <si>
    <t>0.344</t>
  </si>
  <si>
    <t>324.1</t>
  </si>
  <si>
    <t>4.78</t>
  </si>
  <si>
    <t>14.59</t>
  </si>
  <si>
    <t>5.95</t>
  </si>
  <si>
    <t>7.894</t>
  </si>
  <si>
    <t>246.6</t>
  </si>
  <si>
    <t>638.5</t>
  </si>
  <si>
    <t>0.04</t>
  </si>
  <si>
    <t>4.90</t>
  </si>
  <si>
    <t>13.469</t>
  </si>
  <si>
    <t>6.31</t>
  </si>
  <si>
    <t>7.637</t>
  </si>
  <si>
    <t>220.2</t>
  </si>
  <si>
    <t>0.177</t>
  </si>
  <si>
    <t>640.3</t>
  </si>
  <si>
    <t>323.6</t>
  </si>
  <si>
    <t>4.59</t>
  </si>
  <si>
    <t>6.73</t>
  </si>
  <si>
    <t>8.201</t>
  </si>
  <si>
    <t>222.5</t>
  </si>
  <si>
    <t>3.068</t>
  </si>
  <si>
    <t>641.4</t>
  </si>
  <si>
    <t>323.8</t>
  </si>
  <si>
    <t>0.83</t>
  </si>
  <si>
    <t>25.05</t>
  </si>
  <si>
    <t>11.17</t>
  </si>
  <si>
    <t>8.843</t>
  </si>
  <si>
    <t>158.8</t>
  </si>
  <si>
    <t>5.501</t>
  </si>
  <si>
    <t>474.4</t>
  </si>
  <si>
    <t>25.06</t>
  </si>
  <si>
    <t>14.17</t>
  </si>
  <si>
    <t>8.675</t>
  </si>
  <si>
    <t>223.7</t>
  </si>
  <si>
    <t>5.519</t>
  </si>
  <si>
    <t>474.5</t>
  </si>
  <si>
    <t>0.254</t>
  </si>
  <si>
    <t>239.5</t>
  </si>
  <si>
    <t>0.72</t>
  </si>
  <si>
    <t>25.33</t>
  </si>
  <si>
    <t>14.52</t>
  </si>
  <si>
    <t>8.859</t>
  </si>
  <si>
    <t>218.4</t>
  </si>
  <si>
    <t>6.540</t>
  </si>
  <si>
    <t>478.5</t>
  </si>
  <si>
    <t>0.256</t>
  </si>
  <si>
    <t>241.6</t>
  </si>
  <si>
    <t>0.08</t>
  </si>
  <si>
    <t>25.84</t>
  </si>
  <si>
    <t>14.72</t>
  </si>
  <si>
    <t>8.885</t>
  </si>
  <si>
    <t>218.1</t>
  </si>
  <si>
    <t>5.599</t>
  </si>
  <si>
    <t>238.9</t>
  </si>
  <si>
    <t>0.93</t>
  </si>
  <si>
    <t>0.06</t>
  </si>
  <si>
    <t>25.71</t>
  </si>
  <si>
    <t>14.89</t>
  </si>
  <si>
    <t>8.887</t>
  </si>
  <si>
    <t>214.6</t>
  </si>
  <si>
    <t>4.414</t>
  </si>
  <si>
    <t>472.4</t>
  </si>
  <si>
    <t>0.253</t>
  </si>
  <si>
    <t>238.4</t>
  </si>
  <si>
    <t>0.78</t>
  </si>
  <si>
    <t>26.29</t>
  </si>
  <si>
    <t>15.71</t>
  </si>
  <si>
    <t>8.873</t>
  </si>
  <si>
    <t>208.3</t>
  </si>
  <si>
    <t>6.569</t>
  </si>
  <si>
    <t>472.8</t>
  </si>
  <si>
    <t>238.7</t>
  </si>
  <si>
    <t>0.89</t>
  </si>
  <si>
    <t>25.22</t>
  </si>
  <si>
    <t>15.52</t>
  </si>
  <si>
    <t>8.876</t>
  </si>
  <si>
    <t>198.3</t>
  </si>
  <si>
    <t>4.379</t>
  </si>
  <si>
    <t>473.1</t>
  </si>
  <si>
    <t>0.03</t>
  </si>
  <si>
    <t>0.90</t>
  </si>
  <si>
    <t>24.6</t>
  </si>
  <si>
    <t>13.72</t>
  </si>
  <si>
    <t>8.830</t>
  </si>
  <si>
    <t>206.1</t>
  </si>
  <si>
    <t>5.297</t>
  </si>
  <si>
    <t>0.261</t>
  </si>
  <si>
    <t>245.2</t>
  </si>
  <si>
    <t>0.91</t>
  </si>
  <si>
    <t>0.10</t>
  </si>
  <si>
    <t>25.24</t>
  </si>
  <si>
    <t>12.55</t>
  </si>
  <si>
    <t>8.799</t>
  </si>
  <si>
    <t>139.6</t>
  </si>
  <si>
    <t>7.584</t>
  </si>
  <si>
    <t>0.80</t>
  </si>
  <si>
    <t>25.73</t>
  </si>
  <si>
    <t>12.70</t>
  </si>
  <si>
    <t>8.612</t>
  </si>
  <si>
    <t>217.7</t>
  </si>
  <si>
    <t>6.564</t>
  </si>
  <si>
    <t>25.36</t>
  </si>
  <si>
    <t>13.97</t>
  </si>
  <si>
    <t>8.738</t>
  </si>
  <si>
    <t>5.591</t>
  </si>
  <si>
    <t>474.3</t>
  </si>
  <si>
    <t>239.3</t>
  </si>
  <si>
    <t>0.73</t>
  </si>
  <si>
    <t>0.1</t>
  </si>
  <si>
    <t>25.44</t>
  </si>
  <si>
    <t>14.29</t>
  </si>
  <si>
    <t>8.901</t>
  </si>
  <si>
    <t>212.5</t>
  </si>
  <si>
    <t>9.69</t>
  </si>
  <si>
    <t>0.97</t>
  </si>
  <si>
    <t>14.11</t>
  </si>
  <si>
    <t>8.895</t>
  </si>
  <si>
    <t>215.1</t>
  </si>
  <si>
    <t>7.630</t>
  </si>
  <si>
    <t>470.4</t>
  </si>
  <si>
    <t>0.252</t>
  </si>
  <si>
    <t>0.63</t>
  </si>
  <si>
    <t>27.01</t>
  </si>
  <si>
    <t>13.99</t>
  </si>
  <si>
    <t>8.824</t>
  </si>
  <si>
    <t>193.8</t>
  </si>
  <si>
    <t>6.66</t>
  </si>
  <si>
    <t>474.1</t>
  </si>
  <si>
    <t>25.66</t>
  </si>
  <si>
    <t>14.46</t>
  </si>
  <si>
    <t>8.857</t>
  </si>
  <si>
    <t>164.4</t>
  </si>
  <si>
    <t>4.938</t>
  </si>
  <si>
    <t>470.7</t>
  </si>
  <si>
    <t>237.6</t>
  </si>
  <si>
    <t>0.87</t>
  </si>
  <si>
    <t>25.02</t>
  </si>
  <si>
    <t>13.93</t>
  </si>
  <si>
    <t>8.861</t>
  </si>
  <si>
    <t>192.1</t>
  </si>
  <si>
    <t>5.71</t>
  </si>
  <si>
    <t>469.6</t>
  </si>
  <si>
    <t>237.8</t>
  </si>
  <si>
    <t>0.47</t>
  </si>
  <si>
    <t>24.94</t>
  </si>
  <si>
    <t>13.27</t>
  </si>
  <si>
    <t>8.762</t>
  </si>
  <si>
    <t>200.6</t>
  </si>
  <si>
    <t>11.385</t>
  </si>
  <si>
    <t>473.6</t>
  </si>
  <si>
    <t>0.66</t>
  </si>
  <si>
    <t>25.57</t>
  </si>
  <si>
    <t>14.74</t>
  </si>
  <si>
    <t>8.646</t>
  </si>
  <si>
    <t>224.3</t>
  </si>
  <si>
    <t>8.51</t>
  </si>
  <si>
    <t>470.3</t>
  </si>
  <si>
    <t>237.4</t>
  </si>
  <si>
    <t>0.84</t>
  </si>
  <si>
    <t>0.13</t>
  </si>
  <si>
    <t>15.11</t>
  </si>
  <si>
    <t>8.912</t>
  </si>
  <si>
    <t>212.1</t>
  </si>
  <si>
    <t>8.87</t>
  </si>
  <si>
    <t>482.5</t>
  </si>
  <si>
    <t>0.259</t>
  </si>
  <si>
    <t>243.6</t>
  </si>
  <si>
    <t>26.36</t>
  </si>
  <si>
    <t>15.85</t>
  </si>
  <si>
    <t>8.924</t>
  </si>
  <si>
    <t>208.1</t>
  </si>
  <si>
    <t>8.336</t>
  </si>
  <si>
    <t>238.1</t>
  </si>
  <si>
    <t>0.68</t>
  </si>
  <si>
    <t>25.99</t>
  </si>
  <si>
    <t>14.87</t>
  </si>
  <si>
    <t>8.916</t>
  </si>
  <si>
    <t>7.642</t>
  </si>
  <si>
    <t>467.4</t>
  </si>
  <si>
    <t>0.251</t>
  </si>
  <si>
    <t>235.9</t>
  </si>
  <si>
    <t>26.03</t>
  </si>
  <si>
    <t>16.13</t>
  </si>
  <si>
    <t>209.9</t>
  </si>
  <si>
    <t>5.159</t>
  </si>
  <si>
    <t>474.8</t>
  </si>
  <si>
    <t>239.6</t>
  </si>
  <si>
    <t>0.38</t>
  </si>
  <si>
    <t>16.50</t>
  </si>
  <si>
    <t>8.898</t>
  </si>
  <si>
    <t>168.5</t>
  </si>
  <si>
    <t>12.117</t>
  </si>
  <si>
    <t>237.5</t>
  </si>
  <si>
    <t>0.69</t>
  </si>
  <si>
    <t>24.73</t>
  </si>
  <si>
    <t>14.54</t>
  </si>
  <si>
    <t>8.877</t>
  </si>
  <si>
    <t>200.9</t>
  </si>
  <si>
    <t>9.170</t>
  </si>
  <si>
    <t>472.9</t>
  </si>
  <si>
    <t>24.89</t>
  </si>
  <si>
    <t>12.44</t>
  </si>
  <si>
    <t>8.401</t>
  </si>
  <si>
    <t>4.588</t>
  </si>
  <si>
    <t>479.9</t>
  </si>
  <si>
    <t>0.257</t>
  </si>
  <si>
    <t>242.2</t>
  </si>
  <si>
    <t>0.92</t>
  </si>
  <si>
    <t>24.84</t>
  </si>
  <si>
    <t>15.03</t>
  </si>
  <si>
    <t>8.404</t>
  </si>
  <si>
    <t>244.4</t>
  </si>
  <si>
    <t>479.0</t>
  </si>
  <si>
    <t>241.8</t>
  </si>
  <si>
    <t>24.5</t>
  </si>
  <si>
    <t>14.86</t>
  </si>
  <si>
    <t>8.825</t>
  </si>
  <si>
    <t>223.3</t>
  </si>
  <si>
    <t>4.300</t>
  </si>
  <si>
    <t>479.6</t>
  </si>
  <si>
    <t>241.9</t>
  </si>
  <si>
    <t>0.79</t>
  </si>
  <si>
    <t>25.13</t>
  </si>
  <si>
    <t>4.957</t>
  </si>
  <si>
    <t>480.1</t>
  </si>
  <si>
    <t>242.4</t>
  </si>
  <si>
    <t>25.61</t>
  </si>
  <si>
    <t>15.91</t>
  </si>
  <si>
    <t>8.837</t>
  </si>
  <si>
    <t>5.151</t>
  </si>
  <si>
    <t>480.4</t>
  </si>
  <si>
    <t>0.258</t>
  </si>
  <si>
    <t>252.5</t>
  </si>
  <si>
    <t>0.67</t>
  </si>
  <si>
    <t>26.26</t>
  </si>
  <si>
    <t>15.3</t>
  </si>
  <si>
    <t>8.849</t>
  </si>
  <si>
    <t>203.2</t>
  </si>
  <si>
    <t>4.316</t>
  </si>
  <si>
    <t>480.7</t>
  </si>
  <si>
    <t>242.6</t>
  </si>
  <si>
    <t>0.42</t>
  </si>
  <si>
    <t>0.07</t>
  </si>
  <si>
    <t>25.18</t>
  </si>
  <si>
    <t>13.11</t>
  </si>
  <si>
    <t>203.9</t>
  </si>
  <si>
    <t>479.2</t>
  </si>
  <si>
    <t>0.05</t>
  </si>
  <si>
    <t>24.57</t>
  </si>
  <si>
    <t>13.86</t>
  </si>
  <si>
    <t>8.588</t>
  </si>
  <si>
    <t>189.7</t>
  </si>
  <si>
    <t>4.145</t>
  </si>
  <si>
    <t>481.2</t>
  </si>
  <si>
    <t>242.7</t>
  </si>
  <si>
    <t>inlet</t>
  </si>
  <si>
    <t xml:space="preserve"> NH4-N</t>
  </si>
  <si>
    <t>NO2-N</t>
  </si>
  <si>
    <t xml:space="preserve"> NO3-N</t>
  </si>
  <si>
    <t xml:space="preserve">TP </t>
  </si>
  <si>
    <t xml:space="preserve">DO </t>
  </si>
  <si>
    <t xml:space="preserve">Turbidity </t>
  </si>
  <si>
    <t xml:space="preserve">ORP </t>
  </si>
  <si>
    <t xml:space="preserve">EC </t>
  </si>
  <si>
    <t xml:space="preserve">Salinity </t>
  </si>
  <si>
    <t xml:space="preserve">TDS </t>
  </si>
  <si>
    <t>Inlet</t>
  </si>
  <si>
    <t>Ramp</t>
  </si>
  <si>
    <t>Outlet</t>
  </si>
  <si>
    <t>Sites</t>
  </si>
  <si>
    <t>9 post1</t>
  </si>
  <si>
    <t>9 post2</t>
  </si>
  <si>
    <t>measured T  (°C)</t>
  </si>
  <si>
    <t>Error</t>
  </si>
  <si>
    <t>|Error|</t>
  </si>
  <si>
    <r>
      <t>Error</t>
    </r>
    <r>
      <rPr>
        <vertAlign val="superscript"/>
        <sz val="12"/>
        <color theme="1"/>
        <rFont val="Arial"/>
        <family val="2"/>
      </rPr>
      <t>2</t>
    </r>
  </si>
  <si>
    <t>Predicted  T  (°C)</t>
  </si>
  <si>
    <t>MSE</t>
  </si>
  <si>
    <t>RMSE</t>
  </si>
  <si>
    <t>Predicted  DO</t>
  </si>
  <si>
    <t>Predicted  pH</t>
  </si>
  <si>
    <t>Predicted  ORP</t>
  </si>
  <si>
    <t xml:space="preserve">Predicted  Turbidity </t>
  </si>
  <si>
    <t>Predicted  EC</t>
  </si>
  <si>
    <t xml:space="preserve">Predicted  Salinity </t>
  </si>
  <si>
    <t>Predicted  TDS</t>
  </si>
  <si>
    <t>Predicted   NH4-N</t>
  </si>
  <si>
    <t>Predicted  NO2-N</t>
  </si>
  <si>
    <t>Predicted  OP</t>
  </si>
  <si>
    <t>OP</t>
  </si>
  <si>
    <t>Predicted  TP</t>
  </si>
  <si>
    <t xml:space="preserve"> NH4</t>
  </si>
  <si>
    <t>Predicted  NO3-N</t>
  </si>
  <si>
    <t xml:space="preserve">Site </t>
  </si>
  <si>
    <t>DO</t>
  </si>
  <si>
    <t>Temperature</t>
  </si>
  <si>
    <t>ORP</t>
  </si>
  <si>
    <t>Turbidity</t>
  </si>
  <si>
    <t>Conductivity</t>
  </si>
  <si>
    <t>Salinity</t>
  </si>
  <si>
    <t>TDS</t>
  </si>
  <si>
    <t>NH4-N</t>
  </si>
  <si>
    <t>NO3-N</t>
  </si>
  <si>
    <t>TP</t>
  </si>
  <si>
    <t>MAE</t>
  </si>
  <si>
    <t>MBE</t>
  </si>
  <si>
    <t>NRMSE</t>
  </si>
  <si>
    <t>Site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</si>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</sst>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242424"/>
      <name val="Arial"/>
      <family val="2"/>
    </font>
    <font>
      <vertAlign val="superscript"/>
      <sz val="12"/>
      <color theme="1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/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DAC5-96B2-4A69-A76A-B3908B713B8A}">
  <dimension ref="A1:T51"/>
  <sheetViews>
    <sheetView tabSelected="1" workbookViewId="0">
      <pane ySplit="1" topLeftCell="A2" activePane="bottomLeft" state="frozen"/>
      <selection pane="bottomLeft" activeCell="R18" sqref="R18"/>
    </sheetView>
  </sheetViews>
  <sheetFormatPr defaultRowHeight="15" x14ac:dyDescent="0.3"/>
  <cols>
    <col min="1" max="1" width="11.109375" style="30" customWidth="1"/>
    <col min="2" max="2" width="14" style="36" bestFit="1" customWidth="1"/>
    <col min="3" max="4" width="9.33203125" style="30" bestFit="1" customWidth="1"/>
    <col min="5" max="6" width="8.88671875" style="30"/>
    <col min="7" max="7" width="13" style="30" bestFit="1" customWidth="1"/>
    <col min="8" max="8" width="9.6640625" style="30" bestFit="1" customWidth="1"/>
    <col min="9" max="9" width="12" style="30" bestFit="1" customWidth="1"/>
    <col min="10" max="10" width="9" style="30" bestFit="1" customWidth="1"/>
    <col min="11" max="14" width="9.44140625" style="30" customWidth="1"/>
    <col min="15" max="15" width="9.44140625" style="30" bestFit="1" customWidth="1"/>
    <col min="16" max="17" width="8.88671875" style="30"/>
    <col min="18" max="18" width="7.44140625" style="30" bestFit="1" customWidth="1"/>
    <col min="19" max="20" width="10.44140625" style="30" bestFit="1" customWidth="1"/>
    <col min="21" max="16384" width="8.88671875" style="30"/>
  </cols>
  <sheetData>
    <row r="1" spans="1:20" ht="27" customHeight="1" x14ac:dyDescent="0.3">
      <c r="A1" s="27" t="s">
        <v>311</v>
      </c>
      <c r="B1" s="32" t="s">
        <v>0</v>
      </c>
      <c r="C1" s="27" t="s">
        <v>1</v>
      </c>
      <c r="D1" s="27" t="s">
        <v>302</v>
      </c>
      <c r="E1" s="27" t="s">
        <v>2</v>
      </c>
      <c r="F1" s="27" t="s">
        <v>304</v>
      </c>
      <c r="G1" s="27" t="s">
        <v>303</v>
      </c>
      <c r="H1" s="27" t="s">
        <v>305</v>
      </c>
      <c r="I1" s="27" t="s">
        <v>306</v>
      </c>
      <c r="J1" s="27" t="s">
        <v>307</v>
      </c>
      <c r="K1" s="27" t="s">
        <v>333</v>
      </c>
      <c r="L1" s="27" t="s">
        <v>299</v>
      </c>
      <c r="M1" s="27" t="s">
        <v>300</v>
      </c>
      <c r="N1" s="27" t="s">
        <v>331</v>
      </c>
      <c r="O1" s="27" t="s">
        <v>301</v>
      </c>
    </row>
    <row r="2" spans="1:20" x14ac:dyDescent="0.3">
      <c r="A2" s="31" t="s">
        <v>308</v>
      </c>
      <c r="B2" s="32">
        <v>8</v>
      </c>
      <c r="C2" s="27" t="s">
        <v>5</v>
      </c>
      <c r="D2" s="38" t="s">
        <v>6</v>
      </c>
      <c r="E2" s="27" t="s">
        <v>7</v>
      </c>
      <c r="F2" s="27" t="s">
        <v>8</v>
      </c>
      <c r="G2" s="27" t="s">
        <v>9</v>
      </c>
      <c r="H2" s="27">
        <v>636</v>
      </c>
      <c r="I2" s="27" t="s">
        <v>10</v>
      </c>
      <c r="J2" s="37">
        <v>317</v>
      </c>
      <c r="K2" s="27">
        <v>0</v>
      </c>
      <c r="L2" s="27">
        <v>0</v>
      </c>
      <c r="M2" s="27" t="s">
        <v>3</v>
      </c>
      <c r="N2" s="27" t="s">
        <v>4</v>
      </c>
      <c r="O2" s="27">
        <v>0</v>
      </c>
    </row>
    <row r="3" spans="1:20" x14ac:dyDescent="0.3">
      <c r="A3" s="34"/>
      <c r="B3" s="32">
        <v>9</v>
      </c>
      <c r="C3" s="27" t="s">
        <v>11</v>
      </c>
      <c r="D3" s="38" t="s">
        <v>12</v>
      </c>
      <c r="E3" s="27" t="s">
        <v>13</v>
      </c>
      <c r="F3" s="27" t="s">
        <v>14</v>
      </c>
      <c r="G3" s="38" t="s">
        <v>15</v>
      </c>
      <c r="H3" s="27" t="s">
        <v>16</v>
      </c>
      <c r="I3" s="27" t="s">
        <v>17</v>
      </c>
      <c r="J3" s="27" t="s">
        <v>18</v>
      </c>
      <c r="K3" s="27">
        <v>0</v>
      </c>
      <c r="L3" s="27">
        <v>0</v>
      </c>
      <c r="M3" s="27">
        <v>5.2</v>
      </c>
      <c r="N3" s="27">
        <v>0</v>
      </c>
      <c r="O3" s="27">
        <v>0</v>
      </c>
    </row>
    <row r="4" spans="1:20" x14ac:dyDescent="0.3">
      <c r="A4" s="34"/>
      <c r="B4" s="32">
        <v>10</v>
      </c>
      <c r="C4" s="27" t="s">
        <v>19</v>
      </c>
      <c r="D4" s="38" t="s">
        <v>20</v>
      </c>
      <c r="E4" s="27" t="s">
        <v>21</v>
      </c>
      <c r="F4" s="27" t="s">
        <v>22</v>
      </c>
      <c r="G4" s="27" t="s">
        <v>23</v>
      </c>
      <c r="H4" s="27">
        <v>640</v>
      </c>
      <c r="I4" s="27" t="s">
        <v>24</v>
      </c>
      <c r="J4" s="27" t="s">
        <v>25</v>
      </c>
      <c r="K4" s="27">
        <v>0</v>
      </c>
      <c r="L4" s="27" t="s">
        <v>4</v>
      </c>
      <c r="M4" s="27">
        <v>5.46</v>
      </c>
      <c r="N4" s="27">
        <v>0</v>
      </c>
      <c r="O4" s="27">
        <v>0</v>
      </c>
      <c r="T4" s="39"/>
    </row>
    <row r="5" spans="1:20" ht="21" customHeight="1" x14ac:dyDescent="0.3">
      <c r="A5" s="34"/>
      <c r="B5" s="32">
        <v>11</v>
      </c>
      <c r="C5" s="38" t="s">
        <v>28</v>
      </c>
      <c r="D5" s="38" t="s">
        <v>29</v>
      </c>
      <c r="E5" s="27" t="s">
        <v>30</v>
      </c>
      <c r="F5" s="27" t="s">
        <v>31</v>
      </c>
      <c r="G5" s="38" t="s">
        <v>32</v>
      </c>
      <c r="H5" s="27">
        <v>639</v>
      </c>
      <c r="I5" s="27" t="s">
        <v>24</v>
      </c>
      <c r="J5" s="27" t="s">
        <v>33</v>
      </c>
      <c r="K5" s="27">
        <v>0</v>
      </c>
      <c r="L5" s="27">
        <v>0</v>
      </c>
      <c r="M5" s="27" t="s">
        <v>26</v>
      </c>
      <c r="N5" s="27" t="s">
        <v>4</v>
      </c>
      <c r="O5" s="27" t="s">
        <v>27</v>
      </c>
      <c r="S5" s="40"/>
      <c r="T5" s="39"/>
    </row>
    <row r="6" spans="1:20" x14ac:dyDescent="0.3">
      <c r="A6" s="34"/>
      <c r="B6" s="32">
        <v>12</v>
      </c>
      <c r="C6" s="38" t="s">
        <v>35</v>
      </c>
      <c r="D6" s="38" t="s">
        <v>36</v>
      </c>
      <c r="E6" s="27" t="s">
        <v>37</v>
      </c>
      <c r="F6" s="27" t="s">
        <v>38</v>
      </c>
      <c r="G6" s="27" t="s">
        <v>39</v>
      </c>
      <c r="H6" s="27" t="s">
        <v>40</v>
      </c>
      <c r="I6" s="27" t="s">
        <v>41</v>
      </c>
      <c r="J6" s="27" t="s">
        <v>42</v>
      </c>
      <c r="K6" s="27">
        <v>0</v>
      </c>
      <c r="L6" s="27">
        <v>0</v>
      </c>
      <c r="M6" s="27" t="s">
        <v>34</v>
      </c>
      <c r="N6" s="27">
        <v>0</v>
      </c>
      <c r="O6" s="27">
        <v>0</v>
      </c>
      <c r="T6" s="39"/>
    </row>
    <row r="7" spans="1:20" x14ac:dyDescent="0.3">
      <c r="A7" s="34"/>
      <c r="B7" s="32">
        <v>16</v>
      </c>
      <c r="C7" s="27" t="s">
        <v>44</v>
      </c>
      <c r="D7" s="27" t="s">
        <v>45</v>
      </c>
      <c r="E7" s="27" t="s">
        <v>46</v>
      </c>
      <c r="F7" s="27" t="s">
        <v>47</v>
      </c>
      <c r="G7" s="27">
        <v>0</v>
      </c>
      <c r="H7" s="27" t="s">
        <v>48</v>
      </c>
      <c r="I7" s="27" t="s">
        <v>24</v>
      </c>
      <c r="J7" s="27" t="s">
        <v>33</v>
      </c>
      <c r="K7" s="27">
        <v>0</v>
      </c>
      <c r="L7" s="27">
        <v>0</v>
      </c>
      <c r="M7" s="27" t="s">
        <v>43</v>
      </c>
      <c r="N7" s="27">
        <v>0</v>
      </c>
      <c r="O7" s="27">
        <v>0</v>
      </c>
      <c r="T7" s="39"/>
    </row>
    <row r="8" spans="1:20" x14ac:dyDescent="0.3">
      <c r="A8" s="34"/>
      <c r="B8" s="32">
        <v>20</v>
      </c>
      <c r="C8" s="27" t="s">
        <v>51</v>
      </c>
      <c r="D8" s="27" t="s">
        <v>52</v>
      </c>
      <c r="E8" s="27" t="s">
        <v>53</v>
      </c>
      <c r="F8" s="27" t="s">
        <v>54</v>
      </c>
      <c r="G8" s="27" t="s">
        <v>55</v>
      </c>
      <c r="H8" s="27" t="s">
        <v>56</v>
      </c>
      <c r="I8" s="27" t="s">
        <v>41</v>
      </c>
      <c r="J8" s="27" t="s">
        <v>57</v>
      </c>
      <c r="K8" s="27" t="s">
        <v>49</v>
      </c>
      <c r="L8" s="27">
        <v>0</v>
      </c>
      <c r="M8" s="27" t="s">
        <v>50</v>
      </c>
      <c r="N8" s="27">
        <v>0</v>
      </c>
      <c r="O8" s="27">
        <v>0</v>
      </c>
    </row>
    <row r="9" spans="1:20" x14ac:dyDescent="0.3">
      <c r="A9" s="34"/>
      <c r="B9" s="32">
        <v>0</v>
      </c>
      <c r="C9" s="38" t="s">
        <v>35</v>
      </c>
      <c r="D9" s="27" t="s">
        <v>59</v>
      </c>
      <c r="E9" s="27" t="s">
        <v>60</v>
      </c>
      <c r="F9" s="27" t="s">
        <v>61</v>
      </c>
      <c r="G9" s="27" t="s">
        <v>62</v>
      </c>
      <c r="H9" s="27" t="s">
        <v>63</v>
      </c>
      <c r="I9" s="27" t="s">
        <v>41</v>
      </c>
      <c r="J9" s="27" t="s">
        <v>64</v>
      </c>
      <c r="K9" s="27">
        <v>0</v>
      </c>
      <c r="L9" s="27">
        <v>0</v>
      </c>
      <c r="M9" s="27" t="s">
        <v>58</v>
      </c>
      <c r="N9" s="27" t="s">
        <v>4</v>
      </c>
      <c r="O9" s="27">
        <v>0</v>
      </c>
    </row>
    <row r="10" spans="1:20" x14ac:dyDescent="0.3">
      <c r="A10" s="34"/>
      <c r="B10" s="32" t="s">
        <v>312</v>
      </c>
      <c r="C10" s="41">
        <v>13</v>
      </c>
      <c r="D10" s="41">
        <v>6.3</v>
      </c>
      <c r="E10" s="41">
        <v>7.5</v>
      </c>
      <c r="F10" s="37">
        <v>236.6</v>
      </c>
      <c r="G10" s="41">
        <v>0.6</v>
      </c>
      <c r="H10" s="37">
        <v>637.79999999999995</v>
      </c>
      <c r="I10" s="41">
        <v>0.34</v>
      </c>
      <c r="J10" s="37">
        <v>323</v>
      </c>
      <c r="K10" s="32">
        <v>0.09</v>
      </c>
      <c r="L10" s="32">
        <v>0</v>
      </c>
      <c r="M10" s="32">
        <v>0</v>
      </c>
      <c r="N10" s="32">
        <v>0</v>
      </c>
      <c r="O10" s="32">
        <v>0</v>
      </c>
    </row>
    <row r="11" spans="1:20" x14ac:dyDescent="0.3">
      <c r="A11" s="35"/>
      <c r="B11" s="32" t="s">
        <v>313</v>
      </c>
      <c r="C11" s="41">
        <v>13.9</v>
      </c>
      <c r="D11" s="41">
        <v>6.5</v>
      </c>
      <c r="E11" s="41">
        <v>7.7190000000000003</v>
      </c>
      <c r="F11" s="37">
        <v>244.3</v>
      </c>
      <c r="G11" s="41">
        <v>3.7</v>
      </c>
      <c r="H11" s="37">
        <v>621.4</v>
      </c>
      <c r="I11" s="41">
        <v>0.33300000000000002</v>
      </c>
      <c r="J11" s="37">
        <v>323.10000000000002</v>
      </c>
      <c r="K11" s="32">
        <v>0.04</v>
      </c>
      <c r="L11" s="32">
        <v>0</v>
      </c>
      <c r="M11" s="32">
        <v>0</v>
      </c>
      <c r="N11" s="32">
        <v>0</v>
      </c>
      <c r="O11" s="32">
        <v>0</v>
      </c>
    </row>
    <row r="12" spans="1:20" x14ac:dyDescent="0.3">
      <c r="A12" s="31">
        <v>33</v>
      </c>
      <c r="B12" s="32">
        <v>8</v>
      </c>
      <c r="C12" s="38" t="s">
        <v>66</v>
      </c>
      <c r="D12" s="38" t="s">
        <v>67</v>
      </c>
      <c r="E12" s="27" t="s">
        <v>68</v>
      </c>
      <c r="F12" s="27" t="s">
        <v>69</v>
      </c>
      <c r="G12" s="27" t="s">
        <v>70</v>
      </c>
      <c r="H12" s="27" t="s">
        <v>71</v>
      </c>
      <c r="I12" s="27"/>
      <c r="J12" s="27"/>
      <c r="K12" s="27" t="s">
        <v>4</v>
      </c>
      <c r="L12" s="27">
        <v>0</v>
      </c>
      <c r="M12" s="27" t="s">
        <v>65</v>
      </c>
      <c r="N12" s="27">
        <v>0</v>
      </c>
      <c r="O12" s="27">
        <v>0</v>
      </c>
    </row>
    <row r="13" spans="1:20" x14ac:dyDescent="0.3">
      <c r="A13" s="34"/>
      <c r="B13" s="32">
        <v>9</v>
      </c>
      <c r="C13" s="38" t="s">
        <v>72</v>
      </c>
      <c r="D13" s="38" t="s">
        <v>73</v>
      </c>
      <c r="E13" s="27" t="s">
        <v>74</v>
      </c>
      <c r="F13" s="27" t="s">
        <v>75</v>
      </c>
      <c r="G13" s="27" t="s">
        <v>76</v>
      </c>
      <c r="H13" s="27" t="s">
        <v>77</v>
      </c>
      <c r="I13" s="27" t="s">
        <v>78</v>
      </c>
      <c r="J13" s="27" t="s">
        <v>79</v>
      </c>
      <c r="K13" s="27" t="s">
        <v>49</v>
      </c>
      <c r="L13" s="27">
        <v>0</v>
      </c>
      <c r="M13" s="27">
        <v>1.07</v>
      </c>
      <c r="N13" s="27">
        <v>0</v>
      </c>
      <c r="O13" s="27">
        <v>0</v>
      </c>
    </row>
    <row r="14" spans="1:20" x14ac:dyDescent="0.3">
      <c r="A14" s="34"/>
      <c r="B14" s="32">
        <v>10</v>
      </c>
      <c r="C14" s="38" t="s">
        <v>81</v>
      </c>
      <c r="D14" s="38" t="s">
        <v>82</v>
      </c>
      <c r="E14" s="27" t="s">
        <v>83</v>
      </c>
      <c r="F14" s="27" t="s">
        <v>84</v>
      </c>
      <c r="G14" s="27" t="s">
        <v>85</v>
      </c>
      <c r="H14" s="27" t="s">
        <v>86</v>
      </c>
      <c r="I14" s="27" t="s">
        <v>87</v>
      </c>
      <c r="J14" s="27" t="s">
        <v>88</v>
      </c>
      <c r="K14" s="27" t="s">
        <v>4</v>
      </c>
      <c r="L14" s="27">
        <v>0</v>
      </c>
      <c r="M14" s="27" t="s">
        <v>80</v>
      </c>
      <c r="N14" s="27" t="s">
        <v>4</v>
      </c>
      <c r="O14" s="27" t="s">
        <v>27</v>
      </c>
    </row>
    <row r="15" spans="1:20" x14ac:dyDescent="0.3">
      <c r="A15" s="34"/>
      <c r="B15" s="32">
        <v>11</v>
      </c>
      <c r="C15" s="38" t="s">
        <v>90</v>
      </c>
      <c r="D15" s="38" t="s">
        <v>91</v>
      </c>
      <c r="E15" s="27" t="s">
        <v>92</v>
      </c>
      <c r="F15" s="27" t="s">
        <v>93</v>
      </c>
      <c r="G15" s="27" t="s">
        <v>94</v>
      </c>
      <c r="H15" s="27">
        <v>473</v>
      </c>
      <c r="I15" s="27" t="s">
        <v>78</v>
      </c>
      <c r="J15" s="27" t="s">
        <v>95</v>
      </c>
      <c r="K15" s="27">
        <v>0</v>
      </c>
      <c r="L15" s="27" t="s">
        <v>4</v>
      </c>
      <c r="M15" s="27" t="s">
        <v>65</v>
      </c>
      <c r="N15" s="27" t="s">
        <v>4</v>
      </c>
      <c r="O15" s="27" t="s">
        <v>89</v>
      </c>
    </row>
    <row r="16" spans="1:20" x14ac:dyDescent="0.3">
      <c r="A16" s="34"/>
      <c r="B16" s="32">
        <v>12</v>
      </c>
      <c r="C16" s="38" t="s">
        <v>98</v>
      </c>
      <c r="D16" s="38" t="s">
        <v>99</v>
      </c>
      <c r="E16" s="27" t="s">
        <v>100</v>
      </c>
      <c r="F16" s="27" t="s">
        <v>101</v>
      </c>
      <c r="G16" s="27" t="s">
        <v>102</v>
      </c>
      <c r="H16" s="27" t="s">
        <v>103</v>
      </c>
      <c r="I16" s="27" t="s">
        <v>104</v>
      </c>
      <c r="J16" s="27" t="s">
        <v>105</v>
      </c>
      <c r="K16" s="27" t="s">
        <v>4</v>
      </c>
      <c r="L16" s="27" t="s">
        <v>4</v>
      </c>
      <c r="M16" s="27" t="s">
        <v>96</v>
      </c>
      <c r="N16" s="27" t="s">
        <v>4</v>
      </c>
      <c r="O16" s="27" t="s">
        <v>97</v>
      </c>
    </row>
    <row r="17" spans="1:15" x14ac:dyDescent="0.3">
      <c r="A17" s="34"/>
      <c r="B17" s="32">
        <v>16</v>
      </c>
      <c r="C17" s="38" t="s">
        <v>107</v>
      </c>
      <c r="D17" s="38" t="s">
        <v>108</v>
      </c>
      <c r="E17" s="27" t="s">
        <v>109</v>
      </c>
      <c r="F17" s="27" t="s">
        <v>110</v>
      </c>
      <c r="G17" s="27" t="s">
        <v>111</v>
      </c>
      <c r="H17" s="27" t="s">
        <v>112</v>
      </c>
      <c r="I17" s="27" t="s">
        <v>104</v>
      </c>
      <c r="J17" s="27" t="s">
        <v>113</v>
      </c>
      <c r="K17" s="27" t="s">
        <v>27</v>
      </c>
      <c r="L17" s="27" t="s">
        <v>4</v>
      </c>
      <c r="M17" s="27" t="s">
        <v>106</v>
      </c>
      <c r="N17" s="27">
        <v>0</v>
      </c>
      <c r="O17" s="27">
        <v>0</v>
      </c>
    </row>
    <row r="18" spans="1:15" x14ac:dyDescent="0.3">
      <c r="A18" s="34"/>
      <c r="B18" s="32">
        <v>20</v>
      </c>
      <c r="C18" s="38" t="s">
        <v>115</v>
      </c>
      <c r="D18" s="38" t="s">
        <v>116</v>
      </c>
      <c r="E18" s="27" t="s">
        <v>117</v>
      </c>
      <c r="F18" s="27" t="s">
        <v>118</v>
      </c>
      <c r="G18" s="27" t="s">
        <v>119</v>
      </c>
      <c r="H18" s="27" t="s">
        <v>120</v>
      </c>
      <c r="I18" s="27" t="s">
        <v>104</v>
      </c>
      <c r="J18" s="27" t="s">
        <v>105</v>
      </c>
      <c r="K18" s="27" t="s">
        <v>4</v>
      </c>
      <c r="L18" s="27" t="s">
        <v>27</v>
      </c>
      <c r="M18" s="27" t="s">
        <v>114</v>
      </c>
      <c r="N18" s="27">
        <v>0</v>
      </c>
      <c r="O18" s="27">
        <v>0</v>
      </c>
    </row>
    <row r="19" spans="1:15" x14ac:dyDescent="0.3">
      <c r="A19" s="34"/>
      <c r="B19" s="32">
        <v>0</v>
      </c>
      <c r="C19" s="38" t="s">
        <v>123</v>
      </c>
      <c r="D19" s="38" t="s">
        <v>124</v>
      </c>
      <c r="E19" s="27" t="s">
        <v>125</v>
      </c>
      <c r="F19" s="27" t="s">
        <v>126</v>
      </c>
      <c r="G19" s="27" t="s">
        <v>127</v>
      </c>
      <c r="H19" s="27">
        <v>486</v>
      </c>
      <c r="I19" s="27" t="s">
        <v>128</v>
      </c>
      <c r="J19" s="27" t="s">
        <v>129</v>
      </c>
      <c r="K19" s="27" t="s">
        <v>121</v>
      </c>
      <c r="L19" s="27" t="s">
        <v>4</v>
      </c>
      <c r="M19" s="27" t="s">
        <v>122</v>
      </c>
      <c r="N19" s="27">
        <v>0</v>
      </c>
      <c r="O19" s="27">
        <v>0</v>
      </c>
    </row>
    <row r="20" spans="1:15" x14ac:dyDescent="0.3">
      <c r="A20" s="34"/>
      <c r="B20" s="32" t="s">
        <v>312</v>
      </c>
      <c r="C20" s="41">
        <v>24.7</v>
      </c>
      <c r="D20" s="41">
        <v>13.05</v>
      </c>
      <c r="E20" s="41">
        <v>8.7989999999999995</v>
      </c>
      <c r="F20" s="37">
        <v>205.7</v>
      </c>
      <c r="G20" s="41">
        <v>8.2899999999999991</v>
      </c>
      <c r="H20" s="37">
        <v>479.2</v>
      </c>
      <c r="I20" s="41">
        <v>0.25600000000000001</v>
      </c>
      <c r="J20" s="37">
        <v>241.3</v>
      </c>
      <c r="K20" s="32">
        <v>0.04</v>
      </c>
      <c r="L20" s="32">
        <v>0.02</v>
      </c>
      <c r="M20" s="32">
        <v>0</v>
      </c>
      <c r="N20" s="32">
        <v>0</v>
      </c>
      <c r="O20" s="32">
        <v>0</v>
      </c>
    </row>
    <row r="21" spans="1:15" x14ac:dyDescent="0.3">
      <c r="A21" s="35"/>
      <c r="B21" s="32" t="s">
        <v>313</v>
      </c>
      <c r="C21" s="41">
        <v>23.57</v>
      </c>
      <c r="D21" s="41">
        <v>10.99</v>
      </c>
      <c r="E21" s="41">
        <v>8.7639999999999993</v>
      </c>
      <c r="F21" s="37">
        <v>198.1</v>
      </c>
      <c r="G21" s="41">
        <v>15.5</v>
      </c>
      <c r="H21" s="37">
        <v>479.5</v>
      </c>
      <c r="I21" s="41">
        <v>0.25700000000000001</v>
      </c>
      <c r="J21" s="37">
        <v>242</v>
      </c>
      <c r="K21" s="32">
        <v>0.53</v>
      </c>
      <c r="L21" s="32">
        <v>0.02</v>
      </c>
      <c r="M21" s="32">
        <v>0</v>
      </c>
      <c r="N21" s="32">
        <v>0</v>
      </c>
      <c r="O21" s="32">
        <v>0</v>
      </c>
    </row>
    <row r="22" spans="1:15" x14ac:dyDescent="0.3">
      <c r="A22" s="31">
        <v>46</v>
      </c>
      <c r="B22" s="32">
        <v>8</v>
      </c>
      <c r="C22" s="27" t="s">
        <v>132</v>
      </c>
      <c r="D22" s="27" t="s">
        <v>133</v>
      </c>
      <c r="E22" s="27" t="s">
        <v>134</v>
      </c>
      <c r="F22" s="27" t="s">
        <v>135</v>
      </c>
      <c r="G22" s="27" t="s">
        <v>136</v>
      </c>
      <c r="H22" s="27" t="s">
        <v>77</v>
      </c>
      <c r="I22" s="27"/>
      <c r="J22" s="27"/>
      <c r="K22" s="27" t="s">
        <v>4</v>
      </c>
      <c r="L22" s="27" t="s">
        <v>4</v>
      </c>
      <c r="M22" s="27" t="s">
        <v>130</v>
      </c>
      <c r="N22" s="27" t="s">
        <v>4</v>
      </c>
      <c r="O22" s="27" t="s">
        <v>131</v>
      </c>
    </row>
    <row r="23" spans="1:15" x14ac:dyDescent="0.3">
      <c r="A23" s="34"/>
      <c r="B23" s="32">
        <v>9</v>
      </c>
      <c r="C23" s="27" t="s">
        <v>138</v>
      </c>
      <c r="D23" s="27" t="s">
        <v>139</v>
      </c>
      <c r="E23" s="27" t="s">
        <v>140</v>
      </c>
      <c r="F23" s="27" t="s">
        <v>141</v>
      </c>
      <c r="G23" s="27" t="s">
        <v>142</v>
      </c>
      <c r="H23" s="27" t="s">
        <v>112</v>
      </c>
      <c r="I23" s="27" t="s">
        <v>104</v>
      </c>
      <c r="J23" s="27" t="s">
        <v>113</v>
      </c>
      <c r="K23" s="27" t="s">
        <v>27</v>
      </c>
      <c r="L23" s="27">
        <v>0</v>
      </c>
      <c r="M23" s="27" t="s">
        <v>137</v>
      </c>
      <c r="N23" s="27" t="s">
        <v>4</v>
      </c>
      <c r="O23" s="27">
        <v>0</v>
      </c>
    </row>
    <row r="24" spans="1:15" x14ac:dyDescent="0.3">
      <c r="A24" s="34"/>
      <c r="B24" s="32">
        <v>10</v>
      </c>
      <c r="C24" s="27" t="s">
        <v>143</v>
      </c>
      <c r="D24" s="27" t="s">
        <v>144</v>
      </c>
      <c r="E24" s="27" t="s">
        <v>145</v>
      </c>
      <c r="F24" s="27" t="s">
        <v>75</v>
      </c>
      <c r="G24" s="27" t="s">
        <v>146</v>
      </c>
      <c r="H24" s="27" t="s">
        <v>147</v>
      </c>
      <c r="I24" s="27" t="s">
        <v>78</v>
      </c>
      <c r="J24" s="27" t="s">
        <v>148</v>
      </c>
      <c r="K24" s="27" t="s">
        <v>121</v>
      </c>
      <c r="L24" s="27">
        <v>0</v>
      </c>
      <c r="M24" s="27">
        <v>1</v>
      </c>
      <c r="N24" s="27">
        <v>0</v>
      </c>
      <c r="O24" s="27">
        <v>0</v>
      </c>
    </row>
    <row r="25" spans="1:15" x14ac:dyDescent="0.3">
      <c r="A25" s="34"/>
      <c r="B25" s="32">
        <v>11</v>
      </c>
      <c r="C25" s="27" t="s">
        <v>151</v>
      </c>
      <c r="D25" s="27" t="s">
        <v>152</v>
      </c>
      <c r="E25" s="27" t="s">
        <v>153</v>
      </c>
      <c r="F25" s="27" t="s">
        <v>154</v>
      </c>
      <c r="G25" s="27" t="s">
        <v>155</v>
      </c>
      <c r="H25" s="27">
        <v>474</v>
      </c>
      <c r="I25" s="27" t="s">
        <v>78</v>
      </c>
      <c r="J25" s="27">
        <v>239</v>
      </c>
      <c r="K25" s="27" t="s">
        <v>121</v>
      </c>
      <c r="L25" s="27">
        <v>0</v>
      </c>
      <c r="M25" s="27" t="s">
        <v>149</v>
      </c>
      <c r="N25" s="27" t="s">
        <v>4</v>
      </c>
      <c r="O25" s="27" t="s">
        <v>150</v>
      </c>
    </row>
    <row r="26" spans="1:15" x14ac:dyDescent="0.3">
      <c r="A26" s="34"/>
      <c r="B26" s="32">
        <v>12</v>
      </c>
      <c r="C26" s="27" t="s">
        <v>98</v>
      </c>
      <c r="D26" s="38" t="s">
        <v>157</v>
      </c>
      <c r="E26" s="27" t="s">
        <v>158</v>
      </c>
      <c r="F26" s="27" t="s">
        <v>159</v>
      </c>
      <c r="G26" s="27" t="s">
        <v>160</v>
      </c>
      <c r="H26" s="27" t="s">
        <v>161</v>
      </c>
      <c r="I26" s="27" t="s">
        <v>162</v>
      </c>
      <c r="J26" s="27">
        <v>237</v>
      </c>
      <c r="K26" s="27" t="s">
        <v>49</v>
      </c>
      <c r="L26" s="27" t="s">
        <v>27</v>
      </c>
      <c r="M26" s="27" t="s">
        <v>156</v>
      </c>
      <c r="N26" s="27" t="s">
        <v>4</v>
      </c>
      <c r="O26" s="27">
        <v>0</v>
      </c>
    </row>
    <row r="27" spans="1:15" x14ac:dyDescent="0.3">
      <c r="A27" s="34"/>
      <c r="B27" s="32">
        <v>16</v>
      </c>
      <c r="C27" s="38" t="s">
        <v>164</v>
      </c>
      <c r="D27" s="27" t="s">
        <v>165</v>
      </c>
      <c r="E27" s="27" t="s">
        <v>166</v>
      </c>
      <c r="F27" s="27" t="s">
        <v>167</v>
      </c>
      <c r="G27" s="27" t="s">
        <v>168</v>
      </c>
      <c r="H27" s="27" t="s">
        <v>169</v>
      </c>
      <c r="I27" s="27" t="s">
        <v>78</v>
      </c>
      <c r="J27" s="27" t="s">
        <v>148</v>
      </c>
      <c r="K27" s="27">
        <v>0</v>
      </c>
      <c r="L27" s="27" t="s">
        <v>4</v>
      </c>
      <c r="M27" s="27" t="s">
        <v>163</v>
      </c>
      <c r="N27" s="27" t="s">
        <v>4</v>
      </c>
      <c r="O27" s="27" t="s">
        <v>121</v>
      </c>
    </row>
    <row r="28" spans="1:15" x14ac:dyDescent="0.3">
      <c r="A28" s="34"/>
      <c r="B28" s="32">
        <v>20</v>
      </c>
      <c r="C28" s="27" t="s">
        <v>170</v>
      </c>
      <c r="D28" s="27" t="s">
        <v>171</v>
      </c>
      <c r="E28" s="27" t="s">
        <v>172</v>
      </c>
      <c r="F28" s="27" t="s">
        <v>173</v>
      </c>
      <c r="G28" s="27" t="s">
        <v>174</v>
      </c>
      <c r="H28" s="27" t="s">
        <v>175</v>
      </c>
      <c r="I28" s="27" t="s">
        <v>162</v>
      </c>
      <c r="J28" s="27" t="s">
        <v>176</v>
      </c>
      <c r="K28" s="27" t="s">
        <v>121</v>
      </c>
      <c r="L28" s="27" t="s">
        <v>27</v>
      </c>
      <c r="M28" s="27" t="s">
        <v>149</v>
      </c>
      <c r="N28" s="27">
        <v>0</v>
      </c>
      <c r="O28" s="27">
        <v>0</v>
      </c>
    </row>
    <row r="29" spans="1:15" x14ac:dyDescent="0.3">
      <c r="A29" s="34"/>
      <c r="B29" s="32">
        <v>0</v>
      </c>
      <c r="C29" s="38" t="s">
        <v>178</v>
      </c>
      <c r="D29" s="38" t="s">
        <v>179</v>
      </c>
      <c r="E29" s="27" t="s">
        <v>180</v>
      </c>
      <c r="F29" s="27" t="s">
        <v>181</v>
      </c>
      <c r="G29" s="27" t="s">
        <v>182</v>
      </c>
      <c r="H29" s="27" t="s">
        <v>183</v>
      </c>
      <c r="I29" s="27" t="s">
        <v>162</v>
      </c>
      <c r="J29" s="27" t="s">
        <v>184</v>
      </c>
      <c r="K29" s="27" t="s">
        <v>121</v>
      </c>
      <c r="L29" s="27" t="s">
        <v>4</v>
      </c>
      <c r="M29" s="27" t="s">
        <v>177</v>
      </c>
      <c r="N29" s="27">
        <v>0</v>
      </c>
      <c r="O29" s="27">
        <v>0</v>
      </c>
    </row>
    <row r="30" spans="1:15" x14ac:dyDescent="0.3">
      <c r="A30" s="34"/>
      <c r="B30" s="32" t="s">
        <v>312</v>
      </c>
      <c r="C30" s="41">
        <v>24.9</v>
      </c>
      <c r="D30" s="41">
        <v>13.03</v>
      </c>
      <c r="E30" s="41">
        <v>8.75</v>
      </c>
      <c r="F30" s="37">
        <v>199.2</v>
      </c>
      <c r="G30" s="41">
        <v>7.98</v>
      </c>
      <c r="H30" s="37">
        <v>475.2</v>
      </c>
      <c r="I30" s="41">
        <v>0.255</v>
      </c>
      <c r="J30" s="37">
        <v>239.7</v>
      </c>
      <c r="K30" s="32">
        <v>0.43</v>
      </c>
      <c r="L30" s="32">
        <v>0.02</v>
      </c>
      <c r="M30" s="32">
        <v>0</v>
      </c>
      <c r="N30" s="32">
        <v>0</v>
      </c>
      <c r="O30" s="32">
        <v>0</v>
      </c>
    </row>
    <row r="31" spans="1:15" x14ac:dyDescent="0.3">
      <c r="A31" s="35"/>
      <c r="B31" s="32" t="s">
        <v>313</v>
      </c>
      <c r="C31" s="41">
        <v>23.22</v>
      </c>
      <c r="D31" s="41">
        <v>10.029999999999999</v>
      </c>
      <c r="E31" s="41">
        <v>8.7810000000000006</v>
      </c>
      <c r="F31" s="37">
        <v>210.4</v>
      </c>
      <c r="G31" s="41">
        <v>12.582000000000001</v>
      </c>
      <c r="H31" s="37">
        <v>483.3</v>
      </c>
      <c r="I31" s="41">
        <v>0.25900000000000001</v>
      </c>
      <c r="J31" s="37">
        <v>243.8</v>
      </c>
      <c r="K31" s="32">
        <v>0.18</v>
      </c>
      <c r="L31" s="32">
        <v>0.02</v>
      </c>
      <c r="M31" s="32">
        <v>0</v>
      </c>
      <c r="N31" s="32">
        <v>0</v>
      </c>
      <c r="O31" s="32">
        <v>0</v>
      </c>
    </row>
    <row r="32" spans="1:15" x14ac:dyDescent="0.3">
      <c r="A32" s="31" t="s">
        <v>309</v>
      </c>
      <c r="B32" s="32">
        <v>8</v>
      </c>
      <c r="C32" s="27" t="s">
        <v>186</v>
      </c>
      <c r="D32" s="27" t="s">
        <v>187</v>
      </c>
      <c r="E32" s="27" t="s">
        <v>188</v>
      </c>
      <c r="F32" s="27" t="s">
        <v>189</v>
      </c>
      <c r="G32" s="27" t="s">
        <v>190</v>
      </c>
      <c r="H32" s="27" t="s">
        <v>191</v>
      </c>
      <c r="I32" s="27" t="s">
        <v>78</v>
      </c>
      <c r="J32" s="27">
        <v>239</v>
      </c>
      <c r="K32" s="27" t="s">
        <v>121</v>
      </c>
      <c r="L32" s="27" t="s">
        <v>4</v>
      </c>
      <c r="M32" s="27">
        <v>1</v>
      </c>
      <c r="N32" s="27">
        <v>0</v>
      </c>
      <c r="O32" s="27" t="s">
        <v>185</v>
      </c>
    </row>
    <row r="33" spans="1:15" x14ac:dyDescent="0.3">
      <c r="A33" s="34"/>
      <c r="B33" s="32">
        <v>9</v>
      </c>
      <c r="C33" s="27" t="s">
        <v>193</v>
      </c>
      <c r="D33" s="27" t="s">
        <v>194</v>
      </c>
      <c r="E33" s="27" t="s">
        <v>195</v>
      </c>
      <c r="F33" s="27" t="s">
        <v>196</v>
      </c>
      <c r="G33" s="27" t="s">
        <v>197</v>
      </c>
      <c r="H33" s="27" t="s">
        <v>198</v>
      </c>
      <c r="I33" s="27" t="s">
        <v>162</v>
      </c>
      <c r="J33" s="27" t="s">
        <v>199</v>
      </c>
      <c r="K33" s="27" t="s">
        <v>121</v>
      </c>
      <c r="L33" s="27">
        <v>0</v>
      </c>
      <c r="M33" s="27" t="s">
        <v>192</v>
      </c>
      <c r="N33" s="27" t="s">
        <v>4</v>
      </c>
      <c r="O33" s="27" t="s">
        <v>4</v>
      </c>
    </row>
    <row r="34" spans="1:15" x14ac:dyDescent="0.3">
      <c r="A34" s="34"/>
      <c r="B34" s="32">
        <v>10</v>
      </c>
      <c r="C34" s="27" t="s">
        <v>143</v>
      </c>
      <c r="D34" s="38" t="s">
        <v>202</v>
      </c>
      <c r="E34" s="27" t="s">
        <v>203</v>
      </c>
      <c r="F34" s="27" t="s">
        <v>204</v>
      </c>
      <c r="G34" s="27" t="s">
        <v>205</v>
      </c>
      <c r="H34" s="27" t="s">
        <v>206</v>
      </c>
      <c r="I34" s="27" t="s">
        <v>207</v>
      </c>
      <c r="J34" s="27" t="s">
        <v>208</v>
      </c>
      <c r="K34" s="27" t="s">
        <v>27</v>
      </c>
      <c r="L34" s="27" t="s">
        <v>4</v>
      </c>
      <c r="M34" s="27" t="s">
        <v>200</v>
      </c>
      <c r="N34" s="27" t="s">
        <v>4</v>
      </c>
      <c r="O34" s="27" t="s">
        <v>201</v>
      </c>
    </row>
    <row r="35" spans="1:15" x14ac:dyDescent="0.3">
      <c r="A35" s="34"/>
      <c r="B35" s="32">
        <v>11</v>
      </c>
      <c r="C35" s="27" t="s">
        <v>209</v>
      </c>
      <c r="D35" s="27" t="s">
        <v>210</v>
      </c>
      <c r="E35" s="27" t="s">
        <v>211</v>
      </c>
      <c r="F35" s="27" t="s">
        <v>212</v>
      </c>
      <c r="G35" s="27" t="s">
        <v>213</v>
      </c>
      <c r="H35" s="27">
        <v>471</v>
      </c>
      <c r="I35" s="27" t="s">
        <v>104</v>
      </c>
      <c r="J35" s="27" t="s">
        <v>214</v>
      </c>
      <c r="K35" s="27" t="s">
        <v>4</v>
      </c>
      <c r="L35" s="27">
        <v>0</v>
      </c>
      <c r="M35" s="27" t="s">
        <v>200</v>
      </c>
      <c r="N35" s="27" t="s">
        <v>4</v>
      </c>
      <c r="O35" s="27" t="s">
        <v>27</v>
      </c>
    </row>
    <row r="36" spans="1:15" x14ac:dyDescent="0.3">
      <c r="A36" s="34"/>
      <c r="B36" s="32">
        <v>12</v>
      </c>
      <c r="C36" s="27" t="s">
        <v>216</v>
      </c>
      <c r="D36" s="27" t="s">
        <v>217</v>
      </c>
      <c r="E36" s="27" t="s">
        <v>218</v>
      </c>
      <c r="F36" s="27" t="s">
        <v>110</v>
      </c>
      <c r="G36" s="27" t="s">
        <v>219</v>
      </c>
      <c r="H36" s="27" t="s">
        <v>220</v>
      </c>
      <c r="I36" s="27" t="s">
        <v>221</v>
      </c>
      <c r="J36" s="27" t="s">
        <v>222</v>
      </c>
      <c r="K36" s="27" t="s">
        <v>49</v>
      </c>
      <c r="L36" s="27" t="s">
        <v>4</v>
      </c>
      <c r="M36" s="27" t="s">
        <v>215</v>
      </c>
      <c r="N36" s="27" t="s">
        <v>4</v>
      </c>
      <c r="O36" s="27" t="s">
        <v>4</v>
      </c>
    </row>
    <row r="37" spans="1:15" x14ac:dyDescent="0.3">
      <c r="A37" s="34"/>
      <c r="B37" s="32">
        <v>16</v>
      </c>
      <c r="C37" s="38" t="s">
        <v>223</v>
      </c>
      <c r="D37" s="38" t="s">
        <v>224</v>
      </c>
      <c r="E37" s="27" t="s">
        <v>211</v>
      </c>
      <c r="F37" s="27" t="s">
        <v>225</v>
      </c>
      <c r="G37" s="27" t="s">
        <v>226</v>
      </c>
      <c r="H37" s="27" t="s">
        <v>227</v>
      </c>
      <c r="I37" s="27" t="s">
        <v>78</v>
      </c>
      <c r="J37" s="27" t="s">
        <v>228</v>
      </c>
      <c r="K37" s="27" t="s">
        <v>4</v>
      </c>
      <c r="L37" s="27" t="s">
        <v>27</v>
      </c>
      <c r="M37" s="27">
        <v>1.01</v>
      </c>
      <c r="N37" s="27" t="s">
        <v>4</v>
      </c>
      <c r="O37" s="27" t="s">
        <v>27</v>
      </c>
    </row>
    <row r="38" spans="1:15" x14ac:dyDescent="0.3">
      <c r="A38" s="34"/>
      <c r="B38" s="32">
        <v>20</v>
      </c>
      <c r="C38" s="38" t="s">
        <v>72</v>
      </c>
      <c r="D38" s="38" t="s">
        <v>230</v>
      </c>
      <c r="E38" s="27" t="s">
        <v>231</v>
      </c>
      <c r="F38" s="27" t="s">
        <v>232</v>
      </c>
      <c r="G38" s="27" t="s">
        <v>233</v>
      </c>
      <c r="H38" s="27" t="s">
        <v>175</v>
      </c>
      <c r="I38" s="27" t="s">
        <v>162</v>
      </c>
      <c r="J38" s="27" t="s">
        <v>234</v>
      </c>
      <c r="K38" s="27" t="s">
        <v>4</v>
      </c>
      <c r="L38" s="27" t="s">
        <v>27</v>
      </c>
      <c r="M38" s="27" t="s">
        <v>229</v>
      </c>
      <c r="N38" s="27" t="s">
        <v>4</v>
      </c>
      <c r="O38" s="27" t="s">
        <v>121</v>
      </c>
    </row>
    <row r="39" spans="1:15" x14ac:dyDescent="0.3">
      <c r="A39" s="34"/>
      <c r="B39" s="32">
        <v>0</v>
      </c>
      <c r="C39" s="38" t="s">
        <v>236</v>
      </c>
      <c r="D39" s="38" t="s">
        <v>237</v>
      </c>
      <c r="E39" s="27" t="s">
        <v>238</v>
      </c>
      <c r="F39" s="27" t="s">
        <v>239</v>
      </c>
      <c r="G39" s="27" t="s">
        <v>240</v>
      </c>
      <c r="H39" s="27" t="s">
        <v>241</v>
      </c>
      <c r="I39" s="27" t="s">
        <v>104</v>
      </c>
      <c r="J39" s="27" t="s">
        <v>105</v>
      </c>
      <c r="K39" s="27" t="s">
        <v>27</v>
      </c>
      <c r="L39" s="27" t="s">
        <v>27</v>
      </c>
      <c r="M39" s="27" t="s">
        <v>235</v>
      </c>
      <c r="N39" s="27" t="s">
        <v>4</v>
      </c>
      <c r="O39" s="27" t="s">
        <v>121</v>
      </c>
    </row>
    <row r="40" spans="1:15" x14ac:dyDescent="0.3">
      <c r="A40" s="34"/>
      <c r="B40" s="32" t="s">
        <v>312</v>
      </c>
      <c r="C40" s="41">
        <v>24.2</v>
      </c>
      <c r="D40" s="41">
        <v>13.95</v>
      </c>
      <c r="E40" s="41">
        <v>8.8699999999999992</v>
      </c>
      <c r="F40" s="37">
        <v>159.4</v>
      </c>
      <c r="G40" s="41">
        <v>8.6199999999999992</v>
      </c>
      <c r="H40" s="37">
        <v>477.3</v>
      </c>
      <c r="I40" s="41">
        <v>0.255</v>
      </c>
      <c r="J40" s="37">
        <v>239.1</v>
      </c>
      <c r="K40" s="32">
        <v>0.06</v>
      </c>
      <c r="L40" s="32">
        <v>0.02</v>
      </c>
      <c r="M40" s="32">
        <v>0</v>
      </c>
      <c r="N40" s="32">
        <v>0.01</v>
      </c>
      <c r="O40" s="32">
        <v>0</v>
      </c>
    </row>
    <row r="41" spans="1:15" x14ac:dyDescent="0.3">
      <c r="A41" s="35"/>
      <c r="B41" s="32" t="s">
        <v>313</v>
      </c>
      <c r="C41" s="41">
        <v>23.18</v>
      </c>
      <c r="D41" s="41">
        <v>11.5</v>
      </c>
      <c r="E41" s="41">
        <v>8.8309999999999995</v>
      </c>
      <c r="F41" s="37">
        <v>192.7</v>
      </c>
      <c r="G41" s="41">
        <v>13.69</v>
      </c>
      <c r="H41" s="37">
        <v>479.5</v>
      </c>
      <c r="I41" s="41">
        <v>0.25700000000000001</v>
      </c>
      <c r="J41" s="37">
        <v>242</v>
      </c>
      <c r="K41" s="32">
        <v>0.11</v>
      </c>
      <c r="L41" s="32">
        <v>0.02</v>
      </c>
      <c r="M41" s="32">
        <v>0</v>
      </c>
      <c r="N41" s="32">
        <v>0.01</v>
      </c>
      <c r="O41" s="32">
        <v>0</v>
      </c>
    </row>
    <row r="42" spans="1:15" x14ac:dyDescent="0.3">
      <c r="A42" s="31" t="s">
        <v>310</v>
      </c>
      <c r="B42" s="32">
        <v>8</v>
      </c>
      <c r="C42" s="27" t="s">
        <v>242</v>
      </c>
      <c r="D42" s="27" t="s">
        <v>243</v>
      </c>
      <c r="E42" s="27" t="s">
        <v>244</v>
      </c>
      <c r="F42" s="27">
        <v>231</v>
      </c>
      <c r="G42" s="27" t="s">
        <v>245</v>
      </c>
      <c r="H42" s="27" t="s">
        <v>246</v>
      </c>
      <c r="I42" s="27" t="s">
        <v>247</v>
      </c>
      <c r="J42" s="27" t="s">
        <v>248</v>
      </c>
      <c r="K42" s="27" t="s">
        <v>49</v>
      </c>
      <c r="L42" s="27">
        <v>0</v>
      </c>
      <c r="M42" s="27" t="s">
        <v>177</v>
      </c>
      <c r="N42" s="27" t="s">
        <v>4</v>
      </c>
      <c r="O42" s="27" t="s">
        <v>4</v>
      </c>
    </row>
    <row r="43" spans="1:15" x14ac:dyDescent="0.3">
      <c r="A43" s="34"/>
      <c r="B43" s="32">
        <v>9</v>
      </c>
      <c r="C43" s="27" t="s">
        <v>250</v>
      </c>
      <c r="D43" s="38" t="s">
        <v>251</v>
      </c>
      <c r="E43" s="27" t="s">
        <v>252</v>
      </c>
      <c r="F43" s="27" t="s">
        <v>253</v>
      </c>
      <c r="G43" s="27" t="s">
        <v>168</v>
      </c>
      <c r="H43" s="27" t="s">
        <v>254</v>
      </c>
      <c r="I43" s="27" t="s">
        <v>247</v>
      </c>
      <c r="J43" s="27" t="s">
        <v>255</v>
      </c>
      <c r="K43" s="27">
        <v>0</v>
      </c>
      <c r="L43" s="27">
        <v>0</v>
      </c>
      <c r="M43" s="27" t="s">
        <v>249</v>
      </c>
      <c r="N43" s="27" t="s">
        <v>4</v>
      </c>
      <c r="O43" s="27" t="s">
        <v>4</v>
      </c>
    </row>
    <row r="44" spans="1:15" x14ac:dyDescent="0.3">
      <c r="A44" s="34"/>
      <c r="B44" s="32">
        <v>10</v>
      </c>
      <c r="C44" s="38" t="s">
        <v>256</v>
      </c>
      <c r="D44" s="38" t="s">
        <v>257</v>
      </c>
      <c r="E44" s="27" t="s">
        <v>258</v>
      </c>
      <c r="F44" s="27" t="s">
        <v>259</v>
      </c>
      <c r="G44" s="27" t="s">
        <v>260</v>
      </c>
      <c r="H44" s="27" t="s">
        <v>261</v>
      </c>
      <c r="I44" s="27" t="s">
        <v>247</v>
      </c>
      <c r="J44" s="27" t="s">
        <v>262</v>
      </c>
      <c r="K44" s="27" t="s">
        <v>4</v>
      </c>
      <c r="L44" s="27" t="s">
        <v>27</v>
      </c>
      <c r="M44" s="27">
        <v>1.1100000000000001</v>
      </c>
      <c r="N44" s="27">
        <v>0</v>
      </c>
      <c r="O44" s="27">
        <v>0</v>
      </c>
    </row>
    <row r="45" spans="1:15" x14ac:dyDescent="0.3">
      <c r="A45" s="34"/>
      <c r="B45" s="32">
        <v>11</v>
      </c>
      <c r="C45" s="27" t="s">
        <v>264</v>
      </c>
      <c r="D45" s="38" t="s">
        <v>116</v>
      </c>
      <c r="E45" s="27" t="s">
        <v>205</v>
      </c>
      <c r="F45" s="27" t="s">
        <v>84</v>
      </c>
      <c r="G45" s="27" t="s">
        <v>265</v>
      </c>
      <c r="H45" s="27" t="s">
        <v>266</v>
      </c>
      <c r="I45" s="27" t="s">
        <v>247</v>
      </c>
      <c r="J45" s="27" t="s">
        <v>267</v>
      </c>
      <c r="K45" s="27">
        <v>0</v>
      </c>
      <c r="L45" s="27">
        <v>0</v>
      </c>
      <c r="M45" s="27" t="s">
        <v>263</v>
      </c>
      <c r="N45" s="27" t="s">
        <v>4</v>
      </c>
      <c r="O45" s="27" t="s">
        <v>27</v>
      </c>
    </row>
    <row r="46" spans="1:15" x14ac:dyDescent="0.3">
      <c r="A46" s="34"/>
      <c r="B46" s="32">
        <v>12</v>
      </c>
      <c r="C46" s="27" t="s">
        <v>268</v>
      </c>
      <c r="D46" s="38" t="s">
        <v>269</v>
      </c>
      <c r="E46" s="27" t="s">
        <v>270</v>
      </c>
      <c r="F46" s="27">
        <v>215</v>
      </c>
      <c r="G46" s="27" t="s">
        <v>271</v>
      </c>
      <c r="H46" s="27" t="s">
        <v>272</v>
      </c>
      <c r="I46" s="27" t="s">
        <v>273</v>
      </c>
      <c r="J46" s="27" t="s">
        <v>274</v>
      </c>
      <c r="K46" s="27">
        <v>0</v>
      </c>
      <c r="L46" s="27" t="s">
        <v>27</v>
      </c>
      <c r="M46" s="27">
        <v>4.08</v>
      </c>
      <c r="N46" s="27">
        <v>0</v>
      </c>
      <c r="O46" s="27">
        <v>0</v>
      </c>
    </row>
    <row r="47" spans="1:15" x14ac:dyDescent="0.3">
      <c r="A47" s="34"/>
      <c r="B47" s="32">
        <v>16</v>
      </c>
      <c r="C47" s="27" t="s">
        <v>276</v>
      </c>
      <c r="D47" s="38" t="s">
        <v>277</v>
      </c>
      <c r="E47" s="27" t="s">
        <v>278</v>
      </c>
      <c r="F47" s="27" t="s">
        <v>279</v>
      </c>
      <c r="G47" s="27" t="s">
        <v>280</v>
      </c>
      <c r="H47" s="27" t="s">
        <v>281</v>
      </c>
      <c r="I47" s="27" t="s">
        <v>273</v>
      </c>
      <c r="J47" s="27" t="s">
        <v>282</v>
      </c>
      <c r="K47" s="27" t="s">
        <v>4</v>
      </c>
      <c r="L47" s="27">
        <v>0</v>
      </c>
      <c r="M47" s="27" t="s">
        <v>275</v>
      </c>
      <c r="N47" s="27" t="s">
        <v>4</v>
      </c>
      <c r="O47" s="27" t="s">
        <v>121</v>
      </c>
    </row>
    <row r="48" spans="1:15" x14ac:dyDescent="0.3">
      <c r="A48" s="34"/>
      <c r="B48" s="32">
        <v>20</v>
      </c>
      <c r="C48" s="27" t="s">
        <v>285</v>
      </c>
      <c r="D48" s="38" t="s">
        <v>286</v>
      </c>
      <c r="E48" s="27" t="s">
        <v>109</v>
      </c>
      <c r="F48" s="27" t="s">
        <v>287</v>
      </c>
      <c r="G48" s="38" t="s">
        <v>28</v>
      </c>
      <c r="H48" s="27" t="s">
        <v>288</v>
      </c>
      <c r="I48" s="27" t="s">
        <v>247</v>
      </c>
      <c r="J48" s="27" t="s">
        <v>88</v>
      </c>
      <c r="K48" s="27" t="s">
        <v>27</v>
      </c>
      <c r="L48" s="27">
        <v>0</v>
      </c>
      <c r="M48" s="27" t="s">
        <v>283</v>
      </c>
      <c r="N48" s="27" t="s">
        <v>4</v>
      </c>
      <c r="O48" s="27" t="s">
        <v>284</v>
      </c>
    </row>
    <row r="49" spans="1:15" x14ac:dyDescent="0.3">
      <c r="A49" s="34"/>
      <c r="B49" s="32">
        <v>0</v>
      </c>
      <c r="C49" s="27" t="s">
        <v>290</v>
      </c>
      <c r="D49" s="38" t="s">
        <v>291</v>
      </c>
      <c r="E49" s="27" t="s">
        <v>292</v>
      </c>
      <c r="F49" s="27" t="s">
        <v>293</v>
      </c>
      <c r="G49" s="27" t="s">
        <v>294</v>
      </c>
      <c r="H49" s="27" t="s">
        <v>295</v>
      </c>
      <c r="I49" s="27" t="s">
        <v>273</v>
      </c>
      <c r="J49" s="27" t="s">
        <v>296</v>
      </c>
      <c r="K49" s="27" t="s">
        <v>289</v>
      </c>
      <c r="L49" s="27" t="s">
        <v>4</v>
      </c>
      <c r="M49" s="27" t="s">
        <v>249</v>
      </c>
      <c r="N49" s="27">
        <v>0</v>
      </c>
      <c r="O49" s="27">
        <v>0</v>
      </c>
    </row>
    <row r="50" spans="1:15" x14ac:dyDescent="0.3">
      <c r="A50" s="34"/>
      <c r="B50" s="32" t="s">
        <v>312</v>
      </c>
      <c r="C50" s="41">
        <v>8.7799999999999994</v>
      </c>
      <c r="D50" s="41">
        <v>13.7</v>
      </c>
      <c r="E50" s="41">
        <v>8.7799999999999994</v>
      </c>
      <c r="F50" s="37">
        <v>192.6</v>
      </c>
      <c r="G50" s="41">
        <v>8.69</v>
      </c>
      <c r="H50" s="37">
        <v>484.3</v>
      </c>
      <c r="I50" s="41">
        <v>0.26</v>
      </c>
      <c r="J50" s="37">
        <v>242.8</v>
      </c>
      <c r="K50" s="32">
        <v>0.04</v>
      </c>
      <c r="L50" s="32">
        <v>0.01</v>
      </c>
      <c r="M50" s="32">
        <v>0</v>
      </c>
      <c r="N50" s="32">
        <v>0</v>
      </c>
      <c r="O50" s="32">
        <v>0</v>
      </c>
    </row>
    <row r="51" spans="1:15" x14ac:dyDescent="0.3">
      <c r="A51" s="35"/>
      <c r="B51" s="32" t="s">
        <v>313</v>
      </c>
      <c r="C51" s="41">
        <v>23.03</v>
      </c>
      <c r="D51" s="41">
        <v>11.31</v>
      </c>
      <c r="E51" s="41">
        <v>8.7750000000000004</v>
      </c>
      <c r="F51" s="37">
        <v>203.8</v>
      </c>
      <c r="G51" s="41">
        <v>11.35</v>
      </c>
      <c r="H51" s="37">
        <v>480</v>
      </c>
      <c r="I51" s="41">
        <v>0.25700000000000001</v>
      </c>
      <c r="J51" s="37">
        <v>242.1</v>
      </c>
      <c r="K51" s="32">
        <v>0.08</v>
      </c>
      <c r="L51" s="32">
        <v>0.02</v>
      </c>
      <c r="M51" s="32">
        <v>0</v>
      </c>
      <c r="N51" s="32">
        <v>0.01</v>
      </c>
      <c r="O51" s="32">
        <v>0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DC99-3C10-4786-A7D5-1B2E607158A9}">
  <dimension ref="A1:O52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3"/>
  <cols>
    <col min="1" max="1" width="11.109375" style="30" customWidth="1"/>
    <col min="2" max="2" width="14" style="36" bestFit="1" customWidth="1"/>
    <col min="3" max="3" width="12" style="30" customWidth="1"/>
    <col min="4" max="4" width="11.44140625" style="30" customWidth="1"/>
    <col min="5" max="5" width="10.44140625" style="30" customWidth="1"/>
    <col min="6" max="6" width="8.44140625" style="30" customWidth="1"/>
    <col min="7" max="7" width="13.109375" style="30" customWidth="1"/>
    <col min="8" max="9" width="8.88671875" style="30"/>
    <col min="10" max="10" width="9.6640625" style="30" bestFit="1" customWidth="1"/>
    <col min="11" max="11" width="9.6640625" style="30" customWidth="1"/>
    <col min="12" max="16384" width="8.88671875" style="30"/>
  </cols>
  <sheetData>
    <row r="1" spans="1:15" ht="34.200000000000003" customHeight="1" x14ac:dyDescent="0.3">
      <c r="A1" s="27" t="s">
        <v>311</v>
      </c>
      <c r="B1" s="28" t="s">
        <v>0</v>
      </c>
      <c r="C1" s="29" t="s">
        <v>314</v>
      </c>
      <c r="D1" s="29" t="s">
        <v>318</v>
      </c>
      <c r="E1" s="29" t="s">
        <v>315</v>
      </c>
      <c r="F1" s="29" t="s">
        <v>316</v>
      </c>
      <c r="G1" s="27" t="s">
        <v>317</v>
      </c>
    </row>
    <row r="2" spans="1:15" x14ac:dyDescent="0.3">
      <c r="A2" s="31" t="s">
        <v>308</v>
      </c>
      <c r="B2" s="32">
        <v>8</v>
      </c>
      <c r="C2" s="32">
        <v>13.413</v>
      </c>
      <c r="D2" s="32"/>
      <c r="E2" s="32"/>
      <c r="F2" s="32"/>
      <c r="G2" s="33"/>
    </row>
    <row r="3" spans="1:15" x14ac:dyDescent="0.3">
      <c r="A3" s="34"/>
      <c r="B3" s="32">
        <v>9</v>
      </c>
      <c r="C3" s="32">
        <v>13.15</v>
      </c>
      <c r="D3" s="32"/>
      <c r="E3" s="32"/>
      <c r="F3" s="32"/>
      <c r="G3" s="33"/>
      <c r="J3" s="27" t="s">
        <v>335</v>
      </c>
      <c r="K3" s="27" t="s">
        <v>347</v>
      </c>
      <c r="L3" s="27" t="s">
        <v>346</v>
      </c>
      <c r="M3" s="27" t="s">
        <v>319</v>
      </c>
      <c r="N3" s="27" t="s">
        <v>320</v>
      </c>
      <c r="O3" s="27" t="s">
        <v>348</v>
      </c>
    </row>
    <row r="4" spans="1:15" x14ac:dyDescent="0.3">
      <c r="A4" s="34"/>
      <c r="B4" s="32">
        <v>10</v>
      </c>
      <c r="C4" s="32">
        <v>14.15</v>
      </c>
      <c r="D4" s="32"/>
      <c r="E4" s="32"/>
      <c r="F4" s="32"/>
      <c r="G4" s="33"/>
      <c r="J4" s="27" t="s">
        <v>297</v>
      </c>
      <c r="K4" s="32">
        <f>AVERAGE(E6:E11)</f>
        <v>-0.12929166666666703</v>
      </c>
      <c r="L4" s="32">
        <f>AVERAGE(F6:F11)</f>
        <v>0.68737499999999996</v>
      </c>
      <c r="M4" s="32">
        <f>AVERAGE(G6:G11)</f>
        <v>0.67421113541666688</v>
      </c>
      <c r="N4" s="32">
        <f>SQRT(M4)</f>
        <v>0.82110360821072204</v>
      </c>
      <c r="O4" s="32">
        <f>N4/AVERAGE(C6:C11)*100</f>
        <v>5.8406895664070317</v>
      </c>
    </row>
    <row r="5" spans="1:15" ht="15" customHeight="1" x14ac:dyDescent="0.3">
      <c r="A5" s="34"/>
      <c r="B5" s="32">
        <v>11</v>
      </c>
      <c r="C5" s="32">
        <v>14.6</v>
      </c>
      <c r="D5" s="32"/>
      <c r="E5" s="32"/>
      <c r="F5" s="32"/>
      <c r="G5" s="33"/>
      <c r="J5" s="27">
        <v>33</v>
      </c>
      <c r="K5" s="32">
        <f>AVERAGE(E16:E21)</f>
        <v>-0.48833333333333268</v>
      </c>
      <c r="L5" s="32">
        <f>AVERAGE(F16:F21)</f>
        <v>0.88666666666666616</v>
      </c>
      <c r="M5" s="32">
        <f>AVERAGE(G16:G21)</f>
        <v>0.95336458333333252</v>
      </c>
      <c r="N5" s="32">
        <f t="shared" ref="N5:N8" si="0">SQRT(M5)</f>
        <v>0.97640390378845399</v>
      </c>
      <c r="O5" s="32">
        <f>N5/AVERAGE(C16:C21)*100</f>
        <v>3.9032736509632375</v>
      </c>
    </row>
    <row r="6" spans="1:15" x14ac:dyDescent="0.3">
      <c r="A6" s="34"/>
      <c r="B6" s="32">
        <v>12</v>
      </c>
      <c r="C6" s="32">
        <v>14.7</v>
      </c>
      <c r="D6" s="32">
        <f>AVERAGE(C2:C5)</f>
        <v>13.828250000000001</v>
      </c>
      <c r="E6" s="32">
        <f>C6-D6</f>
        <v>0.87174999999999869</v>
      </c>
      <c r="F6" s="32">
        <f>ABS(E6)</f>
        <v>0.87174999999999869</v>
      </c>
      <c r="G6" s="32">
        <f>E6^2</f>
        <v>0.75994806249999769</v>
      </c>
      <c r="J6" s="27">
        <v>46</v>
      </c>
      <c r="K6" s="32">
        <f>AVERAGE(E26:E31)</f>
        <v>-0.4691666666666669</v>
      </c>
      <c r="L6" s="32">
        <f>AVERAGE(F26:F31)</f>
        <v>1.0416666666666672</v>
      </c>
      <c r="M6" s="32">
        <f>AVERAGE(G26:G31)</f>
        <v>1.6486562500000017</v>
      </c>
      <c r="N6" s="32">
        <f t="shared" si="0"/>
        <v>1.2840000973520218</v>
      </c>
      <c r="O6" s="32">
        <f>N6/AVERAGE(C26:C31)*100</f>
        <v>5.0844776822281759</v>
      </c>
    </row>
    <row r="7" spans="1:15" x14ac:dyDescent="0.3">
      <c r="A7" s="34"/>
      <c r="B7" s="32">
        <v>16</v>
      </c>
      <c r="C7" s="32">
        <v>14.59</v>
      </c>
      <c r="D7" s="32">
        <f t="shared" ref="D7:D11" si="1">AVERAGE(C3:C6)</f>
        <v>14.149999999999999</v>
      </c>
      <c r="E7" s="32">
        <f t="shared" ref="E7:E11" si="2">C7-D7</f>
        <v>0.44000000000000128</v>
      </c>
      <c r="F7" s="32">
        <f t="shared" ref="F7:F11" si="3">ABS(E7)</f>
        <v>0.44000000000000128</v>
      </c>
      <c r="G7" s="32">
        <f t="shared" ref="G7:G11" si="4">E7^2</f>
        <v>0.19360000000000113</v>
      </c>
      <c r="J7" s="27" t="s">
        <v>309</v>
      </c>
      <c r="K7" s="32">
        <f>AVERAGE(E36:E41)</f>
        <v>-0.74000000000000021</v>
      </c>
      <c r="L7" s="32">
        <f>AVERAGE(F36:F41)</f>
        <v>0.9541666666666675</v>
      </c>
      <c r="M7" s="32">
        <f>AVERAGE(G36:G41)</f>
        <v>1.1955104166666686</v>
      </c>
      <c r="N7" s="32">
        <f t="shared" si="0"/>
        <v>1.093393989679232</v>
      </c>
      <c r="O7" s="32">
        <f>N7/AVERAGE(C36:C41)*100</f>
        <v>4.3973214947887875</v>
      </c>
    </row>
    <row r="8" spans="1:15" x14ac:dyDescent="0.3">
      <c r="A8" s="34"/>
      <c r="B8" s="32">
        <v>20</v>
      </c>
      <c r="C8" s="37">
        <v>13.46</v>
      </c>
      <c r="D8" s="32">
        <f t="shared" si="1"/>
        <v>14.510000000000002</v>
      </c>
      <c r="E8" s="32">
        <f t="shared" si="2"/>
        <v>-1.0500000000000007</v>
      </c>
      <c r="F8" s="32">
        <f t="shared" si="3"/>
        <v>1.0500000000000007</v>
      </c>
      <c r="G8" s="32">
        <f t="shared" si="4"/>
        <v>1.1025000000000016</v>
      </c>
      <c r="J8" s="27" t="s">
        <v>310</v>
      </c>
      <c r="K8" s="32">
        <f>AVERAGE(E46:E51)</f>
        <v>-2.325416666666666</v>
      </c>
      <c r="L8" s="32">
        <f>AVERAGE(F46:F51)</f>
        <v>3.6062500000000011</v>
      </c>
      <c r="M8" s="32">
        <f>AVERAGE(G46:G51)</f>
        <v>47.144638541666666</v>
      </c>
      <c r="N8" s="32">
        <f t="shared" si="0"/>
        <v>6.8661953468909305</v>
      </c>
      <c r="O8" s="32">
        <f>N8/AVERAGE(C46:C51)*100</f>
        <v>30.875494327621659</v>
      </c>
    </row>
    <row r="9" spans="1:15" x14ac:dyDescent="0.3">
      <c r="A9" s="34"/>
      <c r="B9" s="32">
        <v>0</v>
      </c>
      <c r="C9" s="32">
        <v>14.7</v>
      </c>
      <c r="D9" s="32">
        <f t="shared" si="1"/>
        <v>14.3375</v>
      </c>
      <c r="E9" s="32">
        <f t="shared" si="2"/>
        <v>0.36249999999999893</v>
      </c>
      <c r="F9" s="32">
        <f t="shared" si="3"/>
        <v>0.36249999999999893</v>
      </c>
      <c r="G9" s="32">
        <f t="shared" si="4"/>
        <v>0.13140624999999923</v>
      </c>
    </row>
    <row r="10" spans="1:15" x14ac:dyDescent="0.3">
      <c r="A10" s="34"/>
      <c r="B10" s="32" t="s">
        <v>312</v>
      </c>
      <c r="C10" s="32">
        <v>13</v>
      </c>
      <c r="D10" s="32">
        <f t="shared" si="1"/>
        <v>14.362500000000001</v>
      </c>
      <c r="E10" s="32">
        <f t="shared" si="2"/>
        <v>-1.3625000000000007</v>
      </c>
      <c r="F10" s="32">
        <f t="shared" si="3"/>
        <v>1.3625000000000007</v>
      </c>
      <c r="G10" s="32">
        <f t="shared" si="4"/>
        <v>1.856406250000002</v>
      </c>
    </row>
    <row r="11" spans="1:15" x14ac:dyDescent="0.3">
      <c r="A11" s="35"/>
      <c r="B11" s="32" t="s">
        <v>313</v>
      </c>
      <c r="C11" s="32">
        <v>13.9</v>
      </c>
      <c r="D11" s="32">
        <f t="shared" si="1"/>
        <v>13.9375</v>
      </c>
      <c r="E11" s="32">
        <f t="shared" si="2"/>
        <v>-3.7499999999999645E-2</v>
      </c>
      <c r="F11" s="32">
        <f t="shared" si="3"/>
        <v>3.7499999999999645E-2</v>
      </c>
      <c r="G11" s="32">
        <f t="shared" si="4"/>
        <v>1.4062499999999733E-3</v>
      </c>
    </row>
    <row r="12" spans="1:15" x14ac:dyDescent="0.3">
      <c r="A12" s="31">
        <v>33</v>
      </c>
      <c r="B12" s="32">
        <v>8</v>
      </c>
      <c r="C12" s="32">
        <v>25.05</v>
      </c>
      <c r="D12" s="32"/>
      <c r="E12" s="32"/>
      <c r="F12" s="32"/>
      <c r="G12" s="33"/>
    </row>
    <row r="13" spans="1:15" x14ac:dyDescent="0.3">
      <c r="A13" s="34"/>
      <c r="B13" s="32">
        <v>9</v>
      </c>
      <c r="C13" s="32">
        <v>25.06</v>
      </c>
      <c r="D13" s="32"/>
      <c r="E13" s="27"/>
      <c r="F13" s="27"/>
      <c r="G13" s="27"/>
    </row>
    <row r="14" spans="1:15" x14ac:dyDescent="0.3">
      <c r="A14" s="34"/>
      <c r="B14" s="32">
        <v>10</v>
      </c>
      <c r="C14" s="32">
        <v>25.33</v>
      </c>
      <c r="D14" s="32"/>
      <c r="E14" s="27"/>
      <c r="F14" s="27"/>
      <c r="G14" s="27"/>
    </row>
    <row r="15" spans="1:15" x14ac:dyDescent="0.3">
      <c r="A15" s="34"/>
      <c r="B15" s="32">
        <v>11</v>
      </c>
      <c r="C15" s="32">
        <v>25.84</v>
      </c>
      <c r="D15" s="32"/>
      <c r="E15" s="27"/>
      <c r="F15" s="27"/>
      <c r="G15" s="27"/>
    </row>
    <row r="16" spans="1:15" x14ac:dyDescent="0.3">
      <c r="A16" s="34"/>
      <c r="B16" s="32">
        <v>12</v>
      </c>
      <c r="C16" s="32">
        <v>25.71</v>
      </c>
      <c r="D16" s="32">
        <f>AVERAGE(C12:C15)</f>
        <v>25.32</v>
      </c>
      <c r="E16" s="32">
        <f>C16-D16</f>
        <v>0.39000000000000057</v>
      </c>
      <c r="F16" s="32">
        <f>ABS(E16)</f>
        <v>0.39000000000000057</v>
      </c>
      <c r="G16" s="32">
        <f>E16^2</f>
        <v>0.15210000000000046</v>
      </c>
    </row>
    <row r="17" spans="1:7" x14ac:dyDescent="0.3">
      <c r="A17" s="34"/>
      <c r="B17" s="32">
        <v>16</v>
      </c>
      <c r="C17" s="32">
        <v>26.29</v>
      </c>
      <c r="D17" s="32">
        <f t="shared" ref="D17:D21" si="5">AVERAGE(C13:C16)</f>
        <v>25.484999999999999</v>
      </c>
      <c r="E17" s="32">
        <f t="shared" ref="E17:E21" si="6">C17-D17</f>
        <v>0.80499999999999972</v>
      </c>
      <c r="F17" s="32">
        <f t="shared" ref="F17:F21" si="7">ABS(E17)</f>
        <v>0.80499999999999972</v>
      </c>
      <c r="G17" s="32">
        <f t="shared" ref="G17:G21" si="8">E17^2</f>
        <v>0.64802499999999952</v>
      </c>
    </row>
    <row r="18" spans="1:7" x14ac:dyDescent="0.3">
      <c r="A18" s="34"/>
      <c r="B18" s="32">
        <v>20</v>
      </c>
      <c r="C18" s="32">
        <v>25.22</v>
      </c>
      <c r="D18" s="32">
        <f t="shared" si="5"/>
        <v>25.792499999999997</v>
      </c>
      <c r="E18" s="32">
        <f t="shared" si="6"/>
        <v>-0.57249999999999801</v>
      </c>
      <c r="F18" s="32">
        <f t="shared" si="7"/>
        <v>0.57249999999999801</v>
      </c>
      <c r="G18" s="32">
        <f t="shared" si="8"/>
        <v>0.3277562499999977</v>
      </c>
    </row>
    <row r="19" spans="1:7" x14ac:dyDescent="0.3">
      <c r="A19" s="34"/>
      <c r="B19" s="32">
        <v>0</v>
      </c>
      <c r="C19" s="32">
        <v>24.6</v>
      </c>
      <c r="D19" s="32">
        <f t="shared" si="5"/>
        <v>25.765000000000001</v>
      </c>
      <c r="E19" s="32">
        <f t="shared" si="6"/>
        <v>-1.1649999999999991</v>
      </c>
      <c r="F19" s="32">
        <f t="shared" si="7"/>
        <v>1.1649999999999991</v>
      </c>
      <c r="G19" s="32">
        <f t="shared" si="8"/>
        <v>1.3572249999999979</v>
      </c>
    </row>
    <row r="20" spans="1:7" x14ac:dyDescent="0.3">
      <c r="A20" s="34"/>
      <c r="B20" s="32" t="s">
        <v>312</v>
      </c>
      <c r="C20" s="32">
        <v>24.7</v>
      </c>
      <c r="D20" s="32">
        <f t="shared" si="5"/>
        <v>25.454999999999998</v>
      </c>
      <c r="E20" s="32">
        <f t="shared" si="6"/>
        <v>-0.75499999999999901</v>
      </c>
      <c r="F20" s="32">
        <f t="shared" si="7"/>
        <v>0.75499999999999901</v>
      </c>
      <c r="G20" s="32">
        <f t="shared" si="8"/>
        <v>0.57002499999999845</v>
      </c>
    </row>
    <row r="21" spans="1:7" x14ac:dyDescent="0.3">
      <c r="A21" s="35"/>
      <c r="B21" s="32" t="s">
        <v>313</v>
      </c>
      <c r="C21" s="32">
        <v>23.57</v>
      </c>
      <c r="D21" s="32">
        <f t="shared" si="5"/>
        <v>25.202500000000001</v>
      </c>
      <c r="E21" s="32">
        <f t="shared" si="6"/>
        <v>-1.6325000000000003</v>
      </c>
      <c r="F21" s="32">
        <f t="shared" si="7"/>
        <v>1.6325000000000003</v>
      </c>
      <c r="G21" s="32">
        <f t="shared" si="8"/>
        <v>2.665056250000001</v>
      </c>
    </row>
    <row r="22" spans="1:7" x14ac:dyDescent="0.3">
      <c r="A22" s="31">
        <v>46</v>
      </c>
      <c r="B22" s="32">
        <v>8</v>
      </c>
      <c r="C22" s="32">
        <v>25.24</v>
      </c>
      <c r="D22" s="32"/>
      <c r="E22" s="32"/>
      <c r="F22" s="32"/>
      <c r="G22" s="33"/>
    </row>
    <row r="23" spans="1:7" x14ac:dyDescent="0.3">
      <c r="A23" s="34"/>
      <c r="B23" s="32">
        <v>9</v>
      </c>
      <c r="C23" s="32">
        <v>25.73</v>
      </c>
      <c r="D23" s="32"/>
      <c r="E23" s="27"/>
      <c r="F23" s="27"/>
      <c r="G23" s="27"/>
    </row>
    <row r="24" spans="1:7" x14ac:dyDescent="0.3">
      <c r="A24" s="34"/>
      <c r="B24" s="32">
        <v>10</v>
      </c>
      <c r="C24" s="32">
        <v>25.36</v>
      </c>
      <c r="D24" s="27"/>
      <c r="E24" s="27"/>
      <c r="F24" s="27"/>
      <c r="G24" s="27"/>
    </row>
    <row r="25" spans="1:7" x14ac:dyDescent="0.3">
      <c r="A25" s="34"/>
      <c r="B25" s="32">
        <v>11</v>
      </c>
      <c r="C25" s="32">
        <v>25.44</v>
      </c>
      <c r="D25" s="27"/>
      <c r="E25" s="27"/>
      <c r="F25" s="27"/>
      <c r="G25" s="27"/>
    </row>
    <row r="26" spans="1:7" x14ac:dyDescent="0.3">
      <c r="A26" s="34"/>
      <c r="B26" s="32">
        <v>12</v>
      </c>
      <c r="C26" s="32">
        <v>25.71</v>
      </c>
      <c r="D26" s="32">
        <f>AVERAGE(C22:C25)</f>
        <v>25.442499999999999</v>
      </c>
      <c r="E26" s="32">
        <f>C26-D26</f>
        <v>0.26750000000000185</v>
      </c>
      <c r="F26" s="32">
        <f>ABS(E26)</f>
        <v>0.26750000000000185</v>
      </c>
      <c r="G26" s="32">
        <f>E26^2</f>
        <v>7.1556250000000987E-2</v>
      </c>
    </row>
    <row r="27" spans="1:7" x14ac:dyDescent="0.3">
      <c r="A27" s="34"/>
      <c r="B27" s="32">
        <v>16</v>
      </c>
      <c r="C27" s="32">
        <v>27.01</v>
      </c>
      <c r="D27" s="32">
        <f t="shared" ref="D27:D31" si="9">AVERAGE(C23:C26)</f>
        <v>25.560000000000002</v>
      </c>
      <c r="E27" s="32">
        <f t="shared" ref="E27:E31" si="10">C27-D27</f>
        <v>1.4499999999999993</v>
      </c>
      <c r="F27" s="32">
        <f t="shared" ref="F27:F31" si="11">ABS(E27)</f>
        <v>1.4499999999999993</v>
      </c>
      <c r="G27" s="32">
        <f t="shared" ref="G27:G31" si="12">E27^2</f>
        <v>2.1024999999999978</v>
      </c>
    </row>
    <row r="28" spans="1:7" x14ac:dyDescent="0.3">
      <c r="A28" s="34"/>
      <c r="B28" s="32">
        <v>20</v>
      </c>
      <c r="C28" s="32">
        <v>25.66</v>
      </c>
      <c r="D28" s="32">
        <f t="shared" si="9"/>
        <v>25.88</v>
      </c>
      <c r="E28" s="32">
        <f t="shared" si="10"/>
        <v>-0.21999999999999886</v>
      </c>
      <c r="F28" s="32">
        <f t="shared" si="11"/>
        <v>0.21999999999999886</v>
      </c>
      <c r="G28" s="32">
        <f t="shared" si="12"/>
        <v>4.8399999999999499E-2</v>
      </c>
    </row>
    <row r="29" spans="1:7" x14ac:dyDescent="0.3">
      <c r="A29" s="34"/>
      <c r="B29" s="32">
        <v>0</v>
      </c>
      <c r="C29" s="32">
        <v>25.02</v>
      </c>
      <c r="D29" s="32">
        <f t="shared" si="9"/>
        <v>25.955000000000002</v>
      </c>
      <c r="E29" s="32">
        <f t="shared" si="10"/>
        <v>-0.93500000000000227</v>
      </c>
      <c r="F29" s="32">
        <f t="shared" si="11"/>
        <v>0.93500000000000227</v>
      </c>
      <c r="G29" s="32">
        <f t="shared" si="12"/>
        <v>0.87422500000000425</v>
      </c>
    </row>
    <row r="30" spans="1:7" x14ac:dyDescent="0.3">
      <c r="A30" s="34"/>
      <c r="B30" s="32" t="s">
        <v>312</v>
      </c>
      <c r="C30" s="32">
        <v>24.9</v>
      </c>
      <c r="D30" s="32">
        <f t="shared" si="9"/>
        <v>25.849999999999998</v>
      </c>
      <c r="E30" s="32">
        <f t="shared" si="10"/>
        <v>-0.94999999999999929</v>
      </c>
      <c r="F30" s="32">
        <f t="shared" si="11"/>
        <v>0.94999999999999929</v>
      </c>
      <c r="G30" s="32">
        <f t="shared" si="12"/>
        <v>0.90249999999999864</v>
      </c>
    </row>
    <row r="31" spans="1:7" x14ac:dyDescent="0.3">
      <c r="A31" s="35"/>
      <c r="B31" s="32" t="s">
        <v>313</v>
      </c>
      <c r="C31" s="32">
        <v>23.22</v>
      </c>
      <c r="D31" s="32">
        <f t="shared" si="9"/>
        <v>25.647500000000001</v>
      </c>
      <c r="E31" s="32">
        <f t="shared" si="10"/>
        <v>-2.427500000000002</v>
      </c>
      <c r="F31" s="32">
        <f t="shared" si="11"/>
        <v>2.427500000000002</v>
      </c>
      <c r="G31" s="32">
        <f t="shared" si="12"/>
        <v>5.8927562500000095</v>
      </c>
    </row>
    <row r="32" spans="1:7" x14ac:dyDescent="0.3">
      <c r="A32" s="31" t="s">
        <v>309</v>
      </c>
      <c r="B32" s="32">
        <v>8</v>
      </c>
      <c r="C32" s="32">
        <v>24.94</v>
      </c>
      <c r="D32" s="32"/>
      <c r="E32" s="32"/>
      <c r="F32" s="32"/>
      <c r="G32" s="33"/>
    </row>
    <row r="33" spans="1:7" x14ac:dyDescent="0.3">
      <c r="A33" s="34"/>
      <c r="B33" s="32">
        <v>9</v>
      </c>
      <c r="C33" s="32">
        <v>25.57</v>
      </c>
      <c r="D33" s="27"/>
      <c r="E33" s="27"/>
      <c r="F33" s="27"/>
      <c r="G33" s="27"/>
    </row>
    <row r="34" spans="1:7" x14ac:dyDescent="0.3">
      <c r="A34" s="34"/>
      <c r="B34" s="32">
        <v>10</v>
      </c>
      <c r="C34" s="32">
        <v>25.36</v>
      </c>
      <c r="D34" s="27"/>
      <c r="E34" s="27"/>
      <c r="F34" s="27"/>
      <c r="G34" s="27"/>
    </row>
    <row r="35" spans="1:7" x14ac:dyDescent="0.3">
      <c r="A35" s="34"/>
      <c r="B35" s="32">
        <v>11</v>
      </c>
      <c r="C35" s="32">
        <v>26.36</v>
      </c>
      <c r="D35" s="27"/>
      <c r="E35" s="27"/>
      <c r="F35" s="27"/>
      <c r="G35" s="27"/>
    </row>
    <row r="36" spans="1:7" x14ac:dyDescent="0.3">
      <c r="A36" s="34"/>
      <c r="B36" s="32">
        <v>12</v>
      </c>
      <c r="C36" s="32">
        <v>25.99</v>
      </c>
      <c r="D36" s="32">
        <f>AVERAGE(C32:C35)</f>
        <v>25.557500000000001</v>
      </c>
      <c r="E36" s="32">
        <f>C36-D36</f>
        <v>0.43249999999999744</v>
      </c>
      <c r="F36" s="32">
        <f>ABS(E36)</f>
        <v>0.43249999999999744</v>
      </c>
      <c r="G36" s="32">
        <f>E36^2</f>
        <v>0.18705624999999779</v>
      </c>
    </row>
    <row r="37" spans="1:7" x14ac:dyDescent="0.3">
      <c r="A37" s="34"/>
      <c r="B37" s="32">
        <v>16</v>
      </c>
      <c r="C37" s="32">
        <v>26.03</v>
      </c>
      <c r="D37" s="32">
        <f t="shared" ref="D37:D41" si="13">AVERAGE(C33:C36)</f>
        <v>25.819999999999997</v>
      </c>
      <c r="E37" s="32">
        <f t="shared" ref="E37:E41" si="14">C37-D37</f>
        <v>0.21000000000000441</v>
      </c>
      <c r="F37" s="32">
        <f t="shared" ref="F37:F41" si="15">ABS(E37)</f>
        <v>0.21000000000000441</v>
      </c>
      <c r="G37" s="32">
        <f t="shared" ref="G37:G41" si="16">E37^2</f>
        <v>4.4100000000001853E-2</v>
      </c>
    </row>
    <row r="38" spans="1:7" x14ac:dyDescent="0.3">
      <c r="A38" s="34"/>
      <c r="B38" s="32">
        <v>20</v>
      </c>
      <c r="C38" s="32">
        <v>25.06</v>
      </c>
      <c r="D38" s="32">
        <f t="shared" si="13"/>
        <v>25.934999999999999</v>
      </c>
      <c r="E38" s="32">
        <f t="shared" si="14"/>
        <v>-0.875</v>
      </c>
      <c r="F38" s="32">
        <f t="shared" si="15"/>
        <v>0.875</v>
      </c>
      <c r="G38" s="32">
        <f t="shared" si="16"/>
        <v>0.765625</v>
      </c>
    </row>
    <row r="39" spans="1:7" x14ac:dyDescent="0.3">
      <c r="A39" s="34"/>
      <c r="B39" s="32">
        <v>0</v>
      </c>
      <c r="C39" s="32">
        <v>24.73</v>
      </c>
      <c r="D39" s="32">
        <f t="shared" si="13"/>
        <v>25.86</v>
      </c>
      <c r="E39" s="32">
        <f t="shared" si="14"/>
        <v>-1.129999999999999</v>
      </c>
      <c r="F39" s="32">
        <f t="shared" si="15"/>
        <v>1.129999999999999</v>
      </c>
      <c r="G39" s="32">
        <f t="shared" si="16"/>
        <v>1.2768999999999977</v>
      </c>
    </row>
    <row r="40" spans="1:7" x14ac:dyDescent="0.3">
      <c r="A40" s="34"/>
      <c r="B40" s="32" t="s">
        <v>312</v>
      </c>
      <c r="C40" s="32">
        <v>24.2</v>
      </c>
      <c r="D40" s="32">
        <f t="shared" si="13"/>
        <v>25.452500000000001</v>
      </c>
      <c r="E40" s="32">
        <f t="shared" si="14"/>
        <v>-1.2525000000000013</v>
      </c>
      <c r="F40" s="32">
        <f t="shared" si="15"/>
        <v>1.2525000000000013</v>
      </c>
      <c r="G40" s="32">
        <f t="shared" si="16"/>
        <v>1.5687562500000032</v>
      </c>
    </row>
    <row r="41" spans="1:7" x14ac:dyDescent="0.3">
      <c r="A41" s="35"/>
      <c r="B41" s="32" t="s">
        <v>313</v>
      </c>
      <c r="C41" s="32">
        <v>23.18</v>
      </c>
      <c r="D41" s="32">
        <f t="shared" si="13"/>
        <v>25.005000000000003</v>
      </c>
      <c r="E41" s="32">
        <f t="shared" si="14"/>
        <v>-1.8250000000000028</v>
      </c>
      <c r="F41" s="32">
        <f t="shared" si="15"/>
        <v>1.8250000000000028</v>
      </c>
      <c r="G41" s="32">
        <f t="shared" si="16"/>
        <v>3.3306250000000102</v>
      </c>
    </row>
    <row r="42" spans="1:7" x14ac:dyDescent="0.3">
      <c r="A42" s="31" t="s">
        <v>310</v>
      </c>
      <c r="B42" s="32">
        <v>8</v>
      </c>
      <c r="C42" s="32">
        <v>24.89</v>
      </c>
      <c r="D42" s="32"/>
      <c r="E42" s="32"/>
      <c r="F42" s="32"/>
      <c r="G42" s="33"/>
    </row>
    <row r="43" spans="1:7" x14ac:dyDescent="0.3">
      <c r="A43" s="34"/>
      <c r="B43" s="32">
        <v>9</v>
      </c>
      <c r="C43" s="32">
        <v>24.84</v>
      </c>
      <c r="E43" s="27"/>
      <c r="F43" s="27"/>
      <c r="G43" s="27"/>
    </row>
    <row r="44" spans="1:7" x14ac:dyDescent="0.3">
      <c r="A44" s="34"/>
      <c r="B44" s="32">
        <v>10</v>
      </c>
      <c r="C44" s="32">
        <v>24.5</v>
      </c>
      <c r="D44" s="27"/>
      <c r="E44" s="27"/>
      <c r="F44" s="27"/>
      <c r="G44" s="27"/>
    </row>
    <row r="45" spans="1:7" x14ac:dyDescent="0.3">
      <c r="A45" s="34"/>
      <c r="B45" s="32">
        <v>11</v>
      </c>
      <c r="C45" s="32">
        <v>25.13</v>
      </c>
      <c r="D45" s="27"/>
      <c r="E45" s="27"/>
      <c r="F45" s="27"/>
      <c r="G45" s="27"/>
    </row>
    <row r="46" spans="1:7" x14ac:dyDescent="0.3">
      <c r="A46" s="34"/>
      <c r="B46" s="32">
        <v>12</v>
      </c>
      <c r="C46" s="32">
        <v>25.61</v>
      </c>
      <c r="D46" s="32">
        <f>AVERAGE(C42:C45)</f>
        <v>24.84</v>
      </c>
      <c r="E46" s="32">
        <f>C46-D46</f>
        <v>0.76999999999999957</v>
      </c>
      <c r="F46" s="32">
        <f>ABS(E46)</f>
        <v>0.76999999999999957</v>
      </c>
      <c r="G46" s="32">
        <f>E46^2</f>
        <v>0.59289999999999932</v>
      </c>
    </row>
    <row r="47" spans="1:7" x14ac:dyDescent="0.3">
      <c r="A47" s="34"/>
      <c r="B47" s="32">
        <v>16</v>
      </c>
      <c r="C47" s="32">
        <v>26.26</v>
      </c>
      <c r="D47" s="32">
        <f t="shared" ref="D47:D51" si="17">AVERAGE(C43:C46)</f>
        <v>25.02</v>
      </c>
      <c r="E47" s="32">
        <f t="shared" ref="E47:E51" si="18">C47-D47</f>
        <v>1.240000000000002</v>
      </c>
      <c r="F47" s="32">
        <f t="shared" ref="F47:F51" si="19">ABS(E47)</f>
        <v>1.240000000000002</v>
      </c>
      <c r="G47" s="32">
        <f t="shared" ref="G47:G51" si="20">E47^2</f>
        <v>1.537600000000005</v>
      </c>
    </row>
    <row r="48" spans="1:7" x14ac:dyDescent="0.3">
      <c r="A48" s="34"/>
      <c r="B48" s="32">
        <v>20</v>
      </c>
      <c r="C48" s="32">
        <v>25.18</v>
      </c>
      <c r="D48" s="32">
        <f t="shared" si="17"/>
        <v>25.375</v>
      </c>
      <c r="E48" s="32">
        <f t="shared" si="18"/>
        <v>-0.19500000000000028</v>
      </c>
      <c r="F48" s="32">
        <f t="shared" si="19"/>
        <v>0.19500000000000028</v>
      </c>
      <c r="G48" s="32">
        <f t="shared" si="20"/>
        <v>3.8025000000000114E-2</v>
      </c>
    </row>
    <row r="49" spans="1:7" x14ac:dyDescent="0.3">
      <c r="A49" s="34"/>
      <c r="B49" s="32">
        <v>0</v>
      </c>
      <c r="C49" s="32">
        <v>24.57</v>
      </c>
      <c r="D49" s="32">
        <f t="shared" si="17"/>
        <v>25.545000000000002</v>
      </c>
      <c r="E49" s="32">
        <f t="shared" si="18"/>
        <v>-0.97500000000000142</v>
      </c>
      <c r="F49" s="32">
        <f t="shared" si="19"/>
        <v>0.97500000000000142</v>
      </c>
      <c r="G49" s="32">
        <f t="shared" si="20"/>
        <v>0.95062500000000272</v>
      </c>
    </row>
    <row r="50" spans="1:7" x14ac:dyDescent="0.3">
      <c r="A50" s="34"/>
      <c r="B50" s="32" t="s">
        <v>312</v>
      </c>
      <c r="C50" s="32">
        <v>8.7799999999999994</v>
      </c>
      <c r="D50" s="32">
        <f t="shared" si="17"/>
        <v>25.405000000000001</v>
      </c>
      <c r="E50" s="32">
        <f t="shared" si="18"/>
        <v>-16.625</v>
      </c>
      <c r="F50" s="32">
        <f t="shared" si="19"/>
        <v>16.625</v>
      </c>
      <c r="G50" s="32">
        <f t="shared" si="20"/>
        <v>276.390625</v>
      </c>
    </row>
    <row r="51" spans="1:7" x14ac:dyDescent="0.3">
      <c r="A51" s="35"/>
      <c r="B51" s="32" t="s">
        <v>313</v>
      </c>
      <c r="C51" s="32">
        <v>23.03</v>
      </c>
      <c r="D51" s="32">
        <f t="shared" si="17"/>
        <v>21.197499999999998</v>
      </c>
      <c r="E51" s="32">
        <f t="shared" si="18"/>
        <v>1.8325000000000031</v>
      </c>
      <c r="F51" s="32">
        <f t="shared" si="19"/>
        <v>1.8325000000000031</v>
      </c>
      <c r="G51" s="32">
        <f t="shared" si="20"/>
        <v>3.3580562500000113</v>
      </c>
    </row>
    <row r="52" spans="1:7" x14ac:dyDescent="0.3">
      <c r="C52" s="36"/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EC49-08BA-41B8-AC8C-63D6CD73213E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33203125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302</v>
      </c>
      <c r="D1" s="10" t="s">
        <v>321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5">
        <v>6.04</v>
      </c>
      <c r="D2" s="3"/>
      <c r="E2" s="3"/>
      <c r="F2" s="3"/>
      <c r="G2" s="12"/>
    </row>
    <row r="3" spans="1:15" x14ac:dyDescent="0.3">
      <c r="A3" s="22"/>
      <c r="B3" s="3">
        <v>9</v>
      </c>
      <c r="C3" s="5">
        <v>13.06</v>
      </c>
      <c r="D3" s="3"/>
      <c r="E3" s="3"/>
      <c r="F3" s="3"/>
      <c r="G3" s="12"/>
    </row>
    <row r="4" spans="1:15" x14ac:dyDescent="0.3">
      <c r="A4" s="22"/>
      <c r="B4" s="3">
        <v>10</v>
      </c>
      <c r="C4" s="5">
        <v>6.26</v>
      </c>
      <c r="D4" s="3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5">
        <v>6.01</v>
      </c>
      <c r="D5" s="3"/>
      <c r="E5" s="3"/>
      <c r="F5" s="3"/>
      <c r="G5" s="12"/>
      <c r="J5" s="2" t="s">
        <v>297</v>
      </c>
      <c r="K5" s="3">
        <f>AVERAGE(E6:E11)</f>
        <v>-0.42958333333333315</v>
      </c>
      <c r="L5" s="3">
        <f>AVERAGE(F6:F11)</f>
        <v>0.78708333333333336</v>
      </c>
      <c r="M5" s="3">
        <f>AVERAGE(G6:G11)</f>
        <v>1.1944052083333332</v>
      </c>
      <c r="N5" s="3">
        <f>SQRT(M5)</f>
        <v>1.0928884702170361</v>
      </c>
      <c r="O5" s="3">
        <f>N5/AVERAGE(C6:C11)*100</f>
        <v>17.306230723943564</v>
      </c>
    </row>
    <row r="6" spans="1:15" x14ac:dyDescent="0.3">
      <c r="A6" s="22"/>
      <c r="B6" s="3">
        <v>12</v>
      </c>
      <c r="C6" s="5">
        <v>6.1</v>
      </c>
      <c r="D6" s="3">
        <f>AVERAGE(C2:C5)</f>
        <v>7.8424999999999994</v>
      </c>
      <c r="E6" s="3">
        <f>C6-D6</f>
        <v>-1.7424999999999997</v>
      </c>
      <c r="F6" s="3">
        <f>ABS(E6)</f>
        <v>1.7424999999999997</v>
      </c>
      <c r="G6" s="3">
        <f>E6^2</f>
        <v>3.0363062499999991</v>
      </c>
      <c r="J6" s="2">
        <v>33</v>
      </c>
      <c r="K6" s="3">
        <f>AVERAGE(E16:E21)</f>
        <v>-0.66166666666666651</v>
      </c>
      <c r="L6" s="3">
        <f>AVERAGE(F16:F21)</f>
        <v>1.6416666666666668</v>
      </c>
      <c r="M6" s="3">
        <f>AVERAGE(G16:G21)</f>
        <v>3.556691666666667</v>
      </c>
      <c r="N6" s="3">
        <f t="shared" ref="N6:N9" si="0">SQRT(M6)</f>
        <v>1.8859193160542862</v>
      </c>
      <c r="O6" s="3">
        <f>N6/AVERAGE(C16:C21)*100</f>
        <v>13.490123863049257</v>
      </c>
    </row>
    <row r="7" spans="1:15" x14ac:dyDescent="0.3">
      <c r="A7" s="22"/>
      <c r="B7" s="3">
        <v>16</v>
      </c>
      <c r="C7" s="2">
        <v>5.95</v>
      </c>
      <c r="D7" s="3">
        <f t="shared" ref="D7:D11" si="1">AVERAGE(C3:C6)</f>
        <v>7.8574999999999999</v>
      </c>
      <c r="E7" s="3">
        <f t="shared" ref="E7:E11" si="2">C7-D7</f>
        <v>-1.9074999999999998</v>
      </c>
      <c r="F7" s="3">
        <f t="shared" ref="F7:F11" si="3">ABS(E7)</f>
        <v>1.9074999999999998</v>
      </c>
      <c r="G7" s="3">
        <f t="shared" ref="G7:G11" si="4">E7^2</f>
        <v>3.6385562499999993</v>
      </c>
      <c r="J7" s="2">
        <v>46</v>
      </c>
      <c r="K7" s="3">
        <f>AVERAGE(E26:E31)</f>
        <v>-0.64541666666666708</v>
      </c>
      <c r="L7" s="3">
        <f>AVERAGE(F26:F31)</f>
        <v>1.0870833333333341</v>
      </c>
      <c r="M7" s="3">
        <f>AVERAGE(G26:G31)</f>
        <v>2.7679718750000024</v>
      </c>
      <c r="N7" s="3">
        <f t="shared" si="0"/>
        <v>1.6637222950360442</v>
      </c>
      <c r="O7" s="3">
        <f>N7/AVERAGE(C26:C31)*100</f>
        <v>12.548502539555331</v>
      </c>
    </row>
    <row r="8" spans="1:15" x14ac:dyDescent="0.3">
      <c r="A8" s="22"/>
      <c r="B8" s="3">
        <v>20</v>
      </c>
      <c r="C8" s="2">
        <v>6.31</v>
      </c>
      <c r="D8" s="3">
        <f t="shared" si="1"/>
        <v>6.0799999999999992</v>
      </c>
      <c r="E8" s="3">
        <f t="shared" si="2"/>
        <v>0.23000000000000043</v>
      </c>
      <c r="F8" s="3">
        <f t="shared" si="3"/>
        <v>0.23000000000000043</v>
      </c>
      <c r="G8" s="3">
        <f t="shared" si="4"/>
        <v>5.2900000000000197E-2</v>
      </c>
      <c r="J8" s="2" t="s">
        <v>309</v>
      </c>
      <c r="K8" s="3">
        <f>AVERAGE(E36:E41)</f>
        <v>-0.75208333333333288</v>
      </c>
      <c r="L8" s="3">
        <f>AVERAGE(F36:F41)</f>
        <v>1.4604166666666663</v>
      </c>
      <c r="M8" s="3">
        <f>AVERAGE(G36:G41)</f>
        <v>3.4028364583333306</v>
      </c>
      <c r="N8" s="3">
        <f t="shared" si="0"/>
        <v>1.8446778738666896</v>
      </c>
      <c r="O8" s="3">
        <f>N8/AVERAGE(C36:C41)*100</f>
        <v>12.650665496856941</v>
      </c>
    </row>
    <row r="9" spans="1:15" x14ac:dyDescent="0.3">
      <c r="A9" s="22"/>
      <c r="B9" s="3">
        <v>0</v>
      </c>
      <c r="C9" s="2">
        <v>6.73</v>
      </c>
      <c r="D9" s="3">
        <f t="shared" si="1"/>
        <v>6.0924999999999994</v>
      </c>
      <c r="E9" s="3">
        <f t="shared" si="2"/>
        <v>0.63750000000000107</v>
      </c>
      <c r="F9" s="3">
        <f t="shared" si="3"/>
        <v>0.63750000000000107</v>
      </c>
      <c r="G9" s="3">
        <f t="shared" si="4"/>
        <v>0.40640625000000136</v>
      </c>
      <c r="J9" s="2" t="s">
        <v>310</v>
      </c>
      <c r="K9" s="3">
        <f>AVERAGE(E46:E51)</f>
        <v>-0.91624999999999979</v>
      </c>
      <c r="L9" s="3">
        <f>AVERAGE(F46:F51)</f>
        <v>1.3987500000000004</v>
      </c>
      <c r="M9" s="3">
        <f>AVERAGE(G46:G51)</f>
        <v>2.7414406250000023</v>
      </c>
      <c r="N9" s="3">
        <f t="shared" si="0"/>
        <v>1.6557296352363819</v>
      </c>
      <c r="O9" s="3">
        <f>N9/AVERAGE(C46:C51)*100</f>
        <v>11.941793258105891</v>
      </c>
    </row>
    <row r="10" spans="1:15" x14ac:dyDescent="0.3">
      <c r="A10" s="22"/>
      <c r="B10" s="3" t="s">
        <v>312</v>
      </c>
      <c r="C10" s="7">
        <v>6.3</v>
      </c>
      <c r="D10" s="3">
        <f t="shared" si="1"/>
        <v>6.2725</v>
      </c>
      <c r="E10" s="3">
        <f t="shared" si="2"/>
        <v>2.7499999999999858E-2</v>
      </c>
      <c r="F10" s="3">
        <f t="shared" si="3"/>
        <v>2.7499999999999858E-2</v>
      </c>
      <c r="G10" s="3">
        <f t="shared" si="4"/>
        <v>7.5624999999999217E-4</v>
      </c>
    </row>
    <row r="11" spans="1:15" x14ac:dyDescent="0.3">
      <c r="A11" s="23"/>
      <c r="B11" s="3" t="s">
        <v>313</v>
      </c>
      <c r="C11" s="7">
        <v>6.5</v>
      </c>
      <c r="D11" s="3">
        <f t="shared" si="1"/>
        <v>6.3225000000000007</v>
      </c>
      <c r="E11" s="3">
        <f t="shared" si="2"/>
        <v>0.17749999999999932</v>
      </c>
      <c r="F11" s="3">
        <f t="shared" si="3"/>
        <v>0.17749999999999932</v>
      </c>
      <c r="G11" s="3">
        <f t="shared" si="4"/>
        <v>3.1506249999999764E-2</v>
      </c>
    </row>
    <row r="12" spans="1:15" x14ac:dyDescent="0.3">
      <c r="A12" s="21">
        <v>33</v>
      </c>
      <c r="B12" s="9">
        <v>8</v>
      </c>
      <c r="C12" s="5">
        <v>11.17</v>
      </c>
      <c r="D12" s="3"/>
      <c r="E12" s="3"/>
      <c r="F12" s="3"/>
      <c r="G12" s="12"/>
    </row>
    <row r="13" spans="1:15" x14ac:dyDescent="0.3">
      <c r="A13" s="22"/>
      <c r="B13" s="3">
        <v>9</v>
      </c>
      <c r="C13" s="5">
        <v>14.17</v>
      </c>
      <c r="D13" s="3"/>
      <c r="E13" s="2"/>
      <c r="F13" s="2"/>
      <c r="G13" s="2"/>
    </row>
    <row r="14" spans="1:15" x14ac:dyDescent="0.3">
      <c r="A14" s="22"/>
      <c r="B14" s="3">
        <v>10</v>
      </c>
      <c r="C14" s="5">
        <v>14.52</v>
      </c>
      <c r="D14" s="3"/>
      <c r="E14" s="2"/>
      <c r="F14" s="2"/>
      <c r="G14" s="2"/>
    </row>
    <row r="15" spans="1:15" x14ac:dyDescent="0.3">
      <c r="A15" s="22"/>
      <c r="B15" s="3">
        <v>11</v>
      </c>
      <c r="C15" s="5">
        <v>14.72</v>
      </c>
      <c r="D15" s="3"/>
      <c r="E15" s="2"/>
      <c r="F15" s="2"/>
      <c r="G15" s="2"/>
    </row>
    <row r="16" spans="1:15" x14ac:dyDescent="0.3">
      <c r="A16" s="22"/>
      <c r="B16" s="3">
        <v>12</v>
      </c>
      <c r="C16" s="5">
        <v>14.89</v>
      </c>
      <c r="D16" s="3">
        <f>AVERAGE(C12:C15)</f>
        <v>13.645</v>
      </c>
      <c r="E16" s="3">
        <f>C16-D16</f>
        <v>1.245000000000001</v>
      </c>
      <c r="F16" s="3">
        <f>ABS(E16)</f>
        <v>1.245000000000001</v>
      </c>
      <c r="G16" s="3">
        <f>E16^2</f>
        <v>1.5500250000000024</v>
      </c>
    </row>
    <row r="17" spans="1:7" x14ac:dyDescent="0.3">
      <c r="A17" s="22"/>
      <c r="B17" s="3">
        <v>16</v>
      </c>
      <c r="C17" s="5">
        <v>15.71</v>
      </c>
      <c r="D17" s="3">
        <f t="shared" ref="D17:D21" si="5">AVERAGE(C13:C16)</f>
        <v>14.574999999999999</v>
      </c>
      <c r="E17" s="3">
        <f t="shared" ref="E17:E21" si="6">C17-D17</f>
        <v>1.1350000000000016</v>
      </c>
      <c r="F17" s="3">
        <f t="shared" ref="F17:F21" si="7">ABS(E17)</f>
        <v>1.1350000000000016</v>
      </c>
      <c r="G17" s="3">
        <f t="shared" ref="G17:G21" si="8">E17^2</f>
        <v>1.2882250000000035</v>
      </c>
    </row>
    <row r="18" spans="1:7" x14ac:dyDescent="0.3">
      <c r="A18" s="22"/>
      <c r="B18" s="3">
        <v>20</v>
      </c>
      <c r="C18" s="5">
        <v>15.52</v>
      </c>
      <c r="D18" s="3">
        <f t="shared" si="5"/>
        <v>14.96</v>
      </c>
      <c r="E18" s="3">
        <f t="shared" si="6"/>
        <v>0.55999999999999872</v>
      </c>
      <c r="F18" s="3">
        <f t="shared" si="7"/>
        <v>0.55999999999999872</v>
      </c>
      <c r="G18" s="3">
        <f t="shared" si="8"/>
        <v>0.31359999999999855</v>
      </c>
    </row>
    <row r="19" spans="1:7" x14ac:dyDescent="0.3">
      <c r="A19" s="22"/>
      <c r="B19" s="3">
        <v>0</v>
      </c>
      <c r="C19" s="5">
        <v>13.72</v>
      </c>
      <c r="D19" s="3">
        <f t="shared" si="5"/>
        <v>15.21</v>
      </c>
      <c r="E19" s="3">
        <f t="shared" si="6"/>
        <v>-1.4900000000000002</v>
      </c>
      <c r="F19" s="3">
        <f t="shared" si="7"/>
        <v>1.4900000000000002</v>
      </c>
      <c r="G19" s="3">
        <f t="shared" si="8"/>
        <v>2.2201000000000009</v>
      </c>
    </row>
    <row r="20" spans="1:7" x14ac:dyDescent="0.3">
      <c r="A20" s="22"/>
      <c r="B20" s="3" t="s">
        <v>312</v>
      </c>
      <c r="C20" s="7">
        <v>13.05</v>
      </c>
      <c r="D20" s="3">
        <f t="shared" si="5"/>
        <v>14.96</v>
      </c>
      <c r="E20" s="3">
        <f t="shared" si="6"/>
        <v>-1.9100000000000001</v>
      </c>
      <c r="F20" s="3">
        <f t="shared" si="7"/>
        <v>1.9100000000000001</v>
      </c>
      <c r="G20" s="3">
        <f t="shared" si="8"/>
        <v>3.6481000000000003</v>
      </c>
    </row>
    <row r="21" spans="1:7" x14ac:dyDescent="0.3">
      <c r="A21" s="23"/>
      <c r="B21" s="3" t="s">
        <v>313</v>
      </c>
      <c r="C21" s="7">
        <v>10.99</v>
      </c>
      <c r="D21" s="3">
        <f t="shared" si="5"/>
        <v>14.5</v>
      </c>
      <c r="E21" s="3">
        <f t="shared" si="6"/>
        <v>-3.51</v>
      </c>
      <c r="F21" s="3">
        <f t="shared" si="7"/>
        <v>3.51</v>
      </c>
      <c r="G21" s="3">
        <f t="shared" si="8"/>
        <v>12.320099999999998</v>
      </c>
    </row>
    <row r="22" spans="1:7" x14ac:dyDescent="0.3">
      <c r="A22" s="21">
        <v>46</v>
      </c>
      <c r="B22" s="9">
        <v>8</v>
      </c>
      <c r="C22" s="2">
        <v>12.55</v>
      </c>
      <c r="D22" s="3"/>
      <c r="E22" s="3"/>
      <c r="F22" s="3"/>
      <c r="G22" s="12"/>
    </row>
    <row r="23" spans="1:7" x14ac:dyDescent="0.3">
      <c r="A23" s="22"/>
      <c r="B23" s="3">
        <v>9</v>
      </c>
      <c r="C23" s="2">
        <v>12.7</v>
      </c>
      <c r="D23" s="3"/>
      <c r="E23" s="2"/>
      <c r="F23" s="2"/>
      <c r="G23" s="2"/>
    </row>
    <row r="24" spans="1:7" x14ac:dyDescent="0.3">
      <c r="A24" s="22"/>
      <c r="B24" s="3">
        <v>10</v>
      </c>
      <c r="C24" s="2">
        <v>13.97</v>
      </c>
      <c r="D24" s="2"/>
      <c r="E24" s="2"/>
      <c r="F24" s="2"/>
      <c r="G24" s="2"/>
    </row>
    <row r="25" spans="1:7" x14ac:dyDescent="0.3">
      <c r="A25" s="22"/>
      <c r="B25" s="3">
        <v>11</v>
      </c>
      <c r="C25" s="2">
        <v>14.29</v>
      </c>
      <c r="D25" s="2"/>
      <c r="E25" s="2"/>
      <c r="F25" s="2"/>
      <c r="G25" s="2"/>
    </row>
    <row r="26" spans="1:7" x14ac:dyDescent="0.3">
      <c r="A26" s="22"/>
      <c r="B26" s="3">
        <v>12</v>
      </c>
      <c r="C26" s="5">
        <v>14.11</v>
      </c>
      <c r="D26" s="3">
        <f>AVERAGE(C22:C25)</f>
        <v>13.3775</v>
      </c>
      <c r="E26" s="3">
        <f>C26-D26</f>
        <v>0.73249999999999993</v>
      </c>
      <c r="F26" s="3">
        <f>ABS(E26)</f>
        <v>0.73249999999999993</v>
      </c>
      <c r="G26" s="3">
        <f>E26^2</f>
        <v>0.53655624999999985</v>
      </c>
    </row>
    <row r="27" spans="1:7" x14ac:dyDescent="0.3">
      <c r="A27" s="22"/>
      <c r="B27" s="3">
        <v>16</v>
      </c>
      <c r="C27" s="2">
        <v>13.99</v>
      </c>
      <c r="D27" s="3">
        <f t="shared" ref="D27:D31" si="9">AVERAGE(C23:C26)</f>
        <v>13.7675</v>
      </c>
      <c r="E27" s="3">
        <f t="shared" ref="E27:E31" si="10">C27-D27</f>
        <v>0.22250000000000014</v>
      </c>
      <c r="F27" s="3">
        <f t="shared" ref="F27:F31" si="11">ABS(E27)</f>
        <v>0.22250000000000014</v>
      </c>
      <c r="G27" s="3">
        <f t="shared" ref="G27:G31" si="12">E27^2</f>
        <v>4.9506250000000064E-2</v>
      </c>
    </row>
    <row r="28" spans="1:7" x14ac:dyDescent="0.3">
      <c r="A28" s="22"/>
      <c r="B28" s="3">
        <v>20</v>
      </c>
      <c r="C28" s="2">
        <v>14.46</v>
      </c>
      <c r="D28" s="3">
        <f t="shared" si="9"/>
        <v>14.09</v>
      </c>
      <c r="E28" s="3">
        <f t="shared" si="10"/>
        <v>0.37000000000000099</v>
      </c>
      <c r="F28" s="3">
        <f t="shared" si="11"/>
        <v>0.37000000000000099</v>
      </c>
      <c r="G28" s="3">
        <f t="shared" si="12"/>
        <v>0.13690000000000074</v>
      </c>
    </row>
    <row r="29" spans="1:7" x14ac:dyDescent="0.3">
      <c r="A29" s="22"/>
      <c r="B29" s="3">
        <v>0</v>
      </c>
      <c r="C29" s="5">
        <v>13.93</v>
      </c>
      <c r="D29" s="3">
        <f t="shared" si="9"/>
        <v>14.2125</v>
      </c>
      <c r="E29" s="3">
        <f t="shared" si="10"/>
        <v>-0.28250000000000064</v>
      </c>
      <c r="F29" s="3">
        <f t="shared" si="11"/>
        <v>0.28250000000000064</v>
      </c>
      <c r="G29" s="3">
        <f t="shared" si="12"/>
        <v>7.9806250000000356E-2</v>
      </c>
    </row>
    <row r="30" spans="1:7" x14ac:dyDescent="0.3">
      <c r="A30" s="22"/>
      <c r="B30" s="3" t="s">
        <v>312</v>
      </c>
      <c r="C30" s="7">
        <v>13.03</v>
      </c>
      <c r="D30" s="3">
        <f t="shared" si="9"/>
        <v>14.1225</v>
      </c>
      <c r="E30" s="3">
        <f t="shared" si="10"/>
        <v>-1.0925000000000011</v>
      </c>
      <c r="F30" s="3">
        <f t="shared" si="11"/>
        <v>1.0925000000000011</v>
      </c>
      <c r="G30" s="3">
        <f t="shared" si="12"/>
        <v>1.1935562500000025</v>
      </c>
    </row>
    <row r="31" spans="1:7" x14ac:dyDescent="0.3">
      <c r="A31" s="23"/>
      <c r="B31" s="3" t="s">
        <v>313</v>
      </c>
      <c r="C31" s="7">
        <v>10.029999999999999</v>
      </c>
      <c r="D31" s="3">
        <f t="shared" si="9"/>
        <v>13.852500000000001</v>
      </c>
      <c r="E31" s="3">
        <f t="shared" si="10"/>
        <v>-3.8225000000000016</v>
      </c>
      <c r="F31" s="3">
        <f t="shared" si="11"/>
        <v>3.8225000000000016</v>
      </c>
      <c r="G31" s="3">
        <f t="shared" si="12"/>
        <v>14.611506250000012</v>
      </c>
    </row>
    <row r="32" spans="1:7" x14ac:dyDescent="0.3">
      <c r="A32" s="21" t="s">
        <v>309</v>
      </c>
      <c r="B32" s="3">
        <v>8</v>
      </c>
      <c r="C32" s="2">
        <v>13.27</v>
      </c>
      <c r="D32" s="3"/>
      <c r="E32" s="3"/>
      <c r="F32" s="3"/>
      <c r="G32" s="12"/>
    </row>
    <row r="33" spans="1:7" x14ac:dyDescent="0.3">
      <c r="A33" s="22"/>
      <c r="B33" s="3">
        <v>9</v>
      </c>
      <c r="C33" s="2">
        <v>14.74</v>
      </c>
      <c r="D33" s="2"/>
      <c r="E33" s="2"/>
      <c r="F33" s="2"/>
      <c r="G33" s="2"/>
    </row>
    <row r="34" spans="1:7" x14ac:dyDescent="0.3">
      <c r="A34" s="22"/>
      <c r="B34" s="3">
        <v>10</v>
      </c>
      <c r="C34" s="5">
        <v>15.11</v>
      </c>
      <c r="D34" s="2"/>
      <c r="E34" s="2"/>
      <c r="F34" s="2"/>
      <c r="G34" s="2"/>
    </row>
    <row r="35" spans="1:7" x14ac:dyDescent="0.3">
      <c r="A35" s="22"/>
      <c r="B35" s="3">
        <v>11</v>
      </c>
      <c r="C35" s="2">
        <v>15.85</v>
      </c>
      <c r="D35" s="2"/>
      <c r="E35" s="2"/>
      <c r="F35" s="2"/>
      <c r="G35" s="2"/>
    </row>
    <row r="36" spans="1:7" x14ac:dyDescent="0.3">
      <c r="A36" s="22"/>
      <c r="B36" s="3">
        <v>12</v>
      </c>
      <c r="C36" s="2">
        <v>14.87</v>
      </c>
      <c r="D36" s="3">
        <f>AVERAGE(C32:C35)</f>
        <v>14.7425</v>
      </c>
      <c r="E36" s="3">
        <f>C36-D36</f>
        <v>0.1274999999999995</v>
      </c>
      <c r="F36" s="3">
        <f>ABS(E36)</f>
        <v>0.1274999999999995</v>
      </c>
      <c r="G36" s="3">
        <f>E36^2</f>
        <v>1.6256249999999871E-2</v>
      </c>
    </row>
    <row r="37" spans="1:7" x14ac:dyDescent="0.3">
      <c r="A37" s="22"/>
      <c r="B37" s="3">
        <v>16</v>
      </c>
      <c r="C37" s="5">
        <v>16.13</v>
      </c>
      <c r="D37" s="3">
        <f t="shared" ref="D37:D41" si="13">AVERAGE(C33:C36)</f>
        <v>15.1425</v>
      </c>
      <c r="E37" s="3">
        <f t="shared" ref="E37:E41" si="14">C37-D37</f>
        <v>0.98749999999999893</v>
      </c>
      <c r="F37" s="3">
        <f t="shared" ref="F37:F41" si="15">ABS(E37)</f>
        <v>0.98749999999999893</v>
      </c>
      <c r="G37" s="3">
        <f t="shared" ref="G37:G41" si="16">E37^2</f>
        <v>0.97515624999999795</v>
      </c>
    </row>
    <row r="38" spans="1:7" x14ac:dyDescent="0.3">
      <c r="A38" s="22"/>
      <c r="B38" s="3">
        <v>20</v>
      </c>
      <c r="C38" s="5">
        <v>16.5</v>
      </c>
      <c r="D38" s="3">
        <f t="shared" si="13"/>
        <v>15.489999999999998</v>
      </c>
      <c r="E38" s="3">
        <f t="shared" si="14"/>
        <v>1.0100000000000016</v>
      </c>
      <c r="F38" s="3">
        <f t="shared" si="15"/>
        <v>1.0100000000000016</v>
      </c>
      <c r="G38" s="3">
        <f t="shared" si="16"/>
        <v>1.0201000000000031</v>
      </c>
    </row>
    <row r="39" spans="1:7" x14ac:dyDescent="0.3">
      <c r="A39" s="22"/>
      <c r="B39" s="3">
        <v>0</v>
      </c>
      <c r="C39" s="5">
        <v>14.54</v>
      </c>
      <c r="D39" s="3">
        <f t="shared" si="13"/>
        <v>15.837499999999999</v>
      </c>
      <c r="E39" s="3">
        <f t="shared" si="14"/>
        <v>-1.2974999999999994</v>
      </c>
      <c r="F39" s="3">
        <f t="shared" si="15"/>
        <v>1.2974999999999994</v>
      </c>
      <c r="G39" s="3">
        <f t="shared" si="16"/>
        <v>1.6835062499999984</v>
      </c>
    </row>
    <row r="40" spans="1:7" x14ac:dyDescent="0.3">
      <c r="A40" s="22"/>
      <c r="B40" s="3" t="s">
        <v>312</v>
      </c>
      <c r="C40" s="7">
        <v>13.95</v>
      </c>
      <c r="D40" s="3">
        <f t="shared" si="13"/>
        <v>15.51</v>
      </c>
      <c r="E40" s="3">
        <f t="shared" si="14"/>
        <v>-1.5600000000000005</v>
      </c>
      <c r="F40" s="3">
        <f t="shared" si="15"/>
        <v>1.5600000000000005</v>
      </c>
      <c r="G40" s="3">
        <f t="shared" si="16"/>
        <v>2.4336000000000015</v>
      </c>
    </row>
    <row r="41" spans="1:7" x14ac:dyDescent="0.3">
      <c r="A41" s="23"/>
      <c r="B41" s="3" t="s">
        <v>313</v>
      </c>
      <c r="C41" s="7">
        <v>11.5</v>
      </c>
      <c r="D41" s="3">
        <f t="shared" si="13"/>
        <v>15.279999999999998</v>
      </c>
      <c r="E41" s="3">
        <f t="shared" si="14"/>
        <v>-3.7799999999999976</v>
      </c>
      <c r="F41" s="3">
        <f t="shared" si="15"/>
        <v>3.7799999999999976</v>
      </c>
      <c r="G41" s="3">
        <f t="shared" si="16"/>
        <v>14.288399999999982</v>
      </c>
    </row>
    <row r="42" spans="1:7" x14ac:dyDescent="0.3">
      <c r="A42" s="21" t="s">
        <v>310</v>
      </c>
      <c r="B42" s="3">
        <v>8</v>
      </c>
      <c r="C42" s="2">
        <v>12.44</v>
      </c>
      <c r="D42" s="3"/>
      <c r="E42" s="3"/>
      <c r="F42" s="3"/>
      <c r="G42" s="12"/>
    </row>
    <row r="43" spans="1:7" x14ac:dyDescent="0.3">
      <c r="A43" s="22"/>
      <c r="B43" s="3">
        <v>9</v>
      </c>
      <c r="C43" s="5">
        <v>15.03</v>
      </c>
      <c r="E43" s="2"/>
      <c r="F43" s="2"/>
      <c r="G43" s="2"/>
    </row>
    <row r="44" spans="1:7" x14ac:dyDescent="0.3">
      <c r="A44" s="22"/>
      <c r="B44" s="3">
        <v>10</v>
      </c>
      <c r="C44" s="5">
        <v>14.86</v>
      </c>
      <c r="D44" s="2"/>
      <c r="E44" s="2"/>
      <c r="F44" s="2"/>
      <c r="G44" s="2"/>
    </row>
    <row r="45" spans="1:7" x14ac:dyDescent="0.3">
      <c r="A45" s="22"/>
      <c r="B45" s="3">
        <v>11</v>
      </c>
      <c r="C45" s="5">
        <v>15.52</v>
      </c>
      <c r="D45" s="2"/>
      <c r="E45" s="2"/>
      <c r="F45" s="2"/>
      <c r="G45" s="2"/>
    </row>
    <row r="46" spans="1:7" x14ac:dyDescent="0.3">
      <c r="A46" s="22"/>
      <c r="B46" s="3">
        <v>12</v>
      </c>
      <c r="C46" s="5">
        <v>15.91</v>
      </c>
      <c r="D46" s="3">
        <f>AVERAGE(C42:C45)</f>
        <v>14.462499999999999</v>
      </c>
      <c r="E46" s="3">
        <f>C46-D46</f>
        <v>1.4475000000000016</v>
      </c>
      <c r="F46" s="3">
        <f>ABS(E46)</f>
        <v>1.4475000000000016</v>
      </c>
      <c r="G46" s="3">
        <f>E46^2</f>
        <v>2.0952562500000047</v>
      </c>
    </row>
    <row r="47" spans="1:7" x14ac:dyDescent="0.3">
      <c r="A47" s="22"/>
      <c r="B47" s="3">
        <v>16</v>
      </c>
      <c r="C47" s="5">
        <v>15.3</v>
      </c>
      <c r="D47" s="3">
        <f t="shared" ref="D47:D51" si="17">AVERAGE(C43:C46)</f>
        <v>15.329999999999998</v>
      </c>
      <c r="E47" s="3">
        <f t="shared" ref="E47:E51" si="18">C47-D47</f>
        <v>-2.9999999999997584E-2</v>
      </c>
      <c r="F47" s="3">
        <f t="shared" ref="F47:F51" si="19">ABS(E47)</f>
        <v>2.9999999999997584E-2</v>
      </c>
      <c r="G47" s="3">
        <f t="shared" ref="G47:G51" si="20">E47^2</f>
        <v>8.9999999999985502E-4</v>
      </c>
    </row>
    <row r="48" spans="1:7" x14ac:dyDescent="0.3">
      <c r="A48" s="22"/>
      <c r="B48" s="3">
        <v>20</v>
      </c>
      <c r="C48" s="5">
        <v>13.11</v>
      </c>
      <c r="D48" s="3">
        <f t="shared" si="17"/>
        <v>15.397500000000001</v>
      </c>
      <c r="E48" s="3">
        <f t="shared" si="18"/>
        <v>-2.2875000000000014</v>
      </c>
      <c r="F48" s="3">
        <f t="shared" si="19"/>
        <v>2.2875000000000014</v>
      </c>
      <c r="G48" s="3">
        <f t="shared" si="20"/>
        <v>5.2326562500000069</v>
      </c>
    </row>
    <row r="49" spans="1:7" x14ac:dyDescent="0.3">
      <c r="A49" s="22"/>
      <c r="B49" s="3">
        <v>0</v>
      </c>
      <c r="C49" s="5">
        <v>13.86</v>
      </c>
      <c r="D49" s="3">
        <f t="shared" si="17"/>
        <v>14.96</v>
      </c>
      <c r="E49" s="3">
        <f t="shared" si="18"/>
        <v>-1.1000000000000014</v>
      </c>
      <c r="F49" s="3">
        <f t="shared" si="19"/>
        <v>1.1000000000000014</v>
      </c>
      <c r="G49" s="3">
        <f t="shared" si="20"/>
        <v>1.2100000000000031</v>
      </c>
    </row>
    <row r="50" spans="1:7" x14ac:dyDescent="0.3">
      <c r="A50" s="22"/>
      <c r="B50" s="3" t="s">
        <v>312</v>
      </c>
      <c r="C50" s="7">
        <v>13.7</v>
      </c>
      <c r="D50" s="3">
        <f t="shared" si="17"/>
        <v>14.545</v>
      </c>
      <c r="E50" s="3">
        <f t="shared" si="18"/>
        <v>-0.84500000000000064</v>
      </c>
      <c r="F50" s="3">
        <f t="shared" si="19"/>
        <v>0.84500000000000064</v>
      </c>
      <c r="G50" s="3">
        <f t="shared" si="20"/>
        <v>0.71402500000000113</v>
      </c>
    </row>
    <row r="51" spans="1:7" x14ac:dyDescent="0.3">
      <c r="A51" s="23"/>
      <c r="B51" s="3" t="s">
        <v>313</v>
      </c>
      <c r="C51" s="7">
        <v>11.31</v>
      </c>
      <c r="D51" s="3">
        <f t="shared" si="17"/>
        <v>13.9925</v>
      </c>
      <c r="E51" s="3">
        <f t="shared" si="18"/>
        <v>-2.6824999999999992</v>
      </c>
      <c r="F51" s="3">
        <f t="shared" si="19"/>
        <v>2.6824999999999992</v>
      </c>
      <c r="G51" s="3">
        <f t="shared" si="20"/>
        <v>7.195806249999996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9210-1E3B-4F46-AF29-346694D26D7C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8.88671875" style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2</v>
      </c>
      <c r="D1" s="10" t="s">
        <v>322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2">
        <v>7.4180000000000001</v>
      </c>
      <c r="D2" s="3"/>
      <c r="E2" s="3"/>
      <c r="F2" s="3"/>
      <c r="G2" s="12"/>
    </row>
    <row r="3" spans="1:15" x14ac:dyDescent="0.3">
      <c r="A3" s="22"/>
      <c r="B3" s="3">
        <v>9</v>
      </c>
      <c r="C3" s="2">
        <v>7.3559999999999999</v>
      </c>
      <c r="D3" s="3"/>
      <c r="E3" s="3"/>
      <c r="F3" s="3"/>
      <c r="G3" s="12"/>
    </row>
    <row r="4" spans="1:15" x14ac:dyDescent="0.3">
      <c r="A4" s="22"/>
      <c r="B4" s="3">
        <v>10</v>
      </c>
      <c r="C4" s="2">
        <v>7.64</v>
      </c>
      <c r="D4" s="3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2">
        <v>7.76</v>
      </c>
      <c r="D5" s="3"/>
      <c r="E5" s="3"/>
      <c r="F5" s="3"/>
      <c r="G5" s="12"/>
      <c r="J5" s="2" t="s">
        <v>297</v>
      </c>
      <c r="K5" s="3">
        <f>AVERAGE(E6:E11)</f>
        <v>5.5208333333333449E-2</v>
      </c>
      <c r="L5" s="3">
        <f>AVERAGE(F6:F11)</f>
        <v>0.26604166666666657</v>
      </c>
      <c r="M5" s="3">
        <f>AVERAGE(G6:G11)</f>
        <v>8.5171927083333335E-2</v>
      </c>
      <c r="N5" s="3">
        <f>SQRT(M5)</f>
        <v>0.29184229831080577</v>
      </c>
      <c r="O5" s="3">
        <f>N5/AVERAGE(C6:C11)*100</f>
        <v>3.74164787680257</v>
      </c>
    </row>
    <row r="6" spans="1:15" x14ac:dyDescent="0.3">
      <c r="A6" s="22"/>
      <c r="B6" s="3">
        <v>12</v>
      </c>
      <c r="C6" s="2">
        <v>7.8479999999999999</v>
      </c>
      <c r="D6" s="3">
        <f>AVERAGE(C2:C5)</f>
        <v>7.5434999999999999</v>
      </c>
      <c r="E6" s="3">
        <f>C6-D6</f>
        <v>0.30449999999999999</v>
      </c>
      <c r="F6" s="3">
        <f>ABS(E6)</f>
        <v>0.30449999999999999</v>
      </c>
      <c r="G6" s="3">
        <f>E6^2</f>
        <v>9.272024999999999E-2</v>
      </c>
      <c r="J6" s="2">
        <v>33</v>
      </c>
      <c r="K6" s="3">
        <f>AVERAGE(E16:E21)</f>
        <v>-1.3374999999999618E-2</v>
      </c>
      <c r="L6" s="3">
        <f>AVERAGE(F16:F21)</f>
        <v>5.2708333333333059E-2</v>
      </c>
      <c r="M6" s="3">
        <f>AVERAGE(G16:G21)</f>
        <v>3.4726770833333098E-3</v>
      </c>
      <c r="N6" s="3">
        <f t="shared" ref="N6:N9" si="0">SQRT(M6)</f>
        <v>5.8929424596998313E-2</v>
      </c>
      <c r="O6" s="3">
        <f>N6/AVERAGE(C16:C21)*100</f>
        <v>0.66676073013254988</v>
      </c>
    </row>
    <row r="7" spans="1:15" x14ac:dyDescent="0.3">
      <c r="A7" s="22"/>
      <c r="B7" s="3">
        <v>16</v>
      </c>
      <c r="C7" s="2">
        <v>7.8940000000000001</v>
      </c>
      <c r="D7" s="3">
        <f t="shared" ref="D7:D11" si="1">AVERAGE(C3:C6)</f>
        <v>7.6509999999999998</v>
      </c>
      <c r="E7" s="3">
        <f t="shared" ref="E7:E11" si="2">C7-D7</f>
        <v>0.24300000000000033</v>
      </c>
      <c r="F7" s="3">
        <f t="shared" ref="F7:F11" si="3">ABS(E7)</f>
        <v>0.24300000000000033</v>
      </c>
      <c r="G7" s="3">
        <f t="shared" ref="G7:G11" si="4">E7^2</f>
        <v>5.9049000000000157E-2</v>
      </c>
      <c r="J7" s="2">
        <v>46</v>
      </c>
      <c r="K7" s="3">
        <f>AVERAGE(E26:E31)</f>
        <v>4.6666666666670409E-3</v>
      </c>
      <c r="L7" s="3">
        <f>AVERAGE(F26:F31)</f>
        <v>5.7833333333332959E-2</v>
      </c>
      <c r="M7" s="3">
        <f>AVERAGE(G26:G31)</f>
        <v>5.5060624999999806E-3</v>
      </c>
      <c r="N7" s="3">
        <f t="shared" si="0"/>
        <v>7.4202846980422399E-2</v>
      </c>
      <c r="O7" s="3">
        <f>N7/AVERAGE(C26:C31)*100</f>
        <v>0.84053972565045765</v>
      </c>
    </row>
    <row r="8" spans="1:15" x14ac:dyDescent="0.3">
      <c r="A8" s="22"/>
      <c r="B8" s="3">
        <v>20</v>
      </c>
      <c r="C8" s="2">
        <v>7.6369999999999996</v>
      </c>
      <c r="D8" s="3">
        <f t="shared" si="1"/>
        <v>7.785499999999999</v>
      </c>
      <c r="E8" s="3">
        <f t="shared" si="2"/>
        <v>-0.14849999999999941</v>
      </c>
      <c r="F8" s="3">
        <f t="shared" si="3"/>
        <v>0.14849999999999941</v>
      </c>
      <c r="G8" s="3">
        <f t="shared" si="4"/>
        <v>2.2052249999999825E-2</v>
      </c>
      <c r="J8" s="2" t="s">
        <v>309</v>
      </c>
      <c r="K8" s="3">
        <f>AVERAGE(E36:E41)</f>
        <v>4.1666666666667256E-3</v>
      </c>
      <c r="L8" s="3">
        <f>AVERAGE(F36:F41)</f>
        <v>5.5666666666666899E-2</v>
      </c>
      <c r="M8" s="3">
        <f>AVERAGE(G36:G41)</f>
        <v>3.8981875000000227E-3</v>
      </c>
      <c r="N8" s="3">
        <f t="shared" si="0"/>
        <v>6.243546668360879E-2</v>
      </c>
      <c r="O8" s="3">
        <f>N8/AVERAGE(C36:C41)*100</f>
        <v>0.702627354080675</v>
      </c>
    </row>
    <row r="9" spans="1:15" x14ac:dyDescent="0.3">
      <c r="A9" s="22"/>
      <c r="B9" s="3">
        <v>0</v>
      </c>
      <c r="C9" s="2">
        <v>8.2010000000000005</v>
      </c>
      <c r="D9" s="3">
        <f t="shared" si="1"/>
        <v>7.7847500000000007</v>
      </c>
      <c r="E9" s="3">
        <f t="shared" si="2"/>
        <v>0.41624999999999979</v>
      </c>
      <c r="F9" s="3">
        <f t="shared" si="3"/>
        <v>0.41624999999999979</v>
      </c>
      <c r="G9" s="3">
        <f t="shared" si="4"/>
        <v>0.17326406249999982</v>
      </c>
      <c r="J9" s="2" t="s">
        <v>310</v>
      </c>
      <c r="K9" s="3">
        <f>AVERAGE(E46:E51)</f>
        <v>1.3541666666666488E-2</v>
      </c>
      <c r="L9" s="3">
        <f>AVERAGE(F46:F51)</f>
        <v>0.10554166666666702</v>
      </c>
      <c r="M9" s="3">
        <f>AVERAGE(G46:G51)</f>
        <v>2.1914406250000171E-2</v>
      </c>
      <c r="N9" s="3">
        <f t="shared" si="0"/>
        <v>0.14803515207544515</v>
      </c>
      <c r="O9" s="3">
        <f>N9/AVERAGE(C46:C51)*100</f>
        <v>1.6853457410585384</v>
      </c>
    </row>
    <row r="10" spans="1:15" x14ac:dyDescent="0.3">
      <c r="A10" s="22"/>
      <c r="B10" s="3" t="s">
        <v>312</v>
      </c>
      <c r="C10" s="7">
        <v>7.5</v>
      </c>
      <c r="D10" s="3">
        <f t="shared" si="1"/>
        <v>7.8950000000000005</v>
      </c>
      <c r="E10" s="3">
        <f t="shared" si="2"/>
        <v>-0.39500000000000046</v>
      </c>
      <c r="F10" s="3">
        <f t="shared" si="3"/>
        <v>0.39500000000000046</v>
      </c>
      <c r="G10" s="3">
        <f t="shared" si="4"/>
        <v>0.15602500000000036</v>
      </c>
    </row>
    <row r="11" spans="1:15" x14ac:dyDescent="0.3">
      <c r="A11" s="23"/>
      <c r="B11" s="3" t="s">
        <v>313</v>
      </c>
      <c r="C11" s="7">
        <v>7.7190000000000003</v>
      </c>
      <c r="D11" s="3">
        <f t="shared" si="1"/>
        <v>7.8079999999999998</v>
      </c>
      <c r="E11" s="3">
        <f t="shared" si="2"/>
        <v>-8.8999999999999524E-2</v>
      </c>
      <c r="F11" s="3">
        <f t="shared" si="3"/>
        <v>8.8999999999999524E-2</v>
      </c>
      <c r="G11" s="3">
        <f t="shared" si="4"/>
        <v>7.920999999999916E-3</v>
      </c>
    </row>
    <row r="12" spans="1:15" x14ac:dyDescent="0.3">
      <c r="A12" s="21">
        <v>33</v>
      </c>
      <c r="B12" s="9">
        <v>8</v>
      </c>
      <c r="C12" s="2">
        <v>8.843</v>
      </c>
      <c r="D12" s="3"/>
      <c r="E12" s="3"/>
      <c r="F12" s="3"/>
      <c r="G12" s="12"/>
    </row>
    <row r="13" spans="1:15" x14ac:dyDescent="0.3">
      <c r="A13" s="22"/>
      <c r="B13" s="3">
        <v>9</v>
      </c>
      <c r="C13" s="2">
        <v>8.6750000000000007</v>
      </c>
      <c r="D13" s="3"/>
      <c r="E13" s="2"/>
      <c r="F13" s="2"/>
      <c r="G13" s="2"/>
    </row>
    <row r="14" spans="1:15" x14ac:dyDescent="0.3">
      <c r="A14" s="22"/>
      <c r="B14" s="3">
        <v>10</v>
      </c>
      <c r="C14" s="2">
        <v>8.859</v>
      </c>
      <c r="D14" s="3"/>
      <c r="E14" s="2"/>
      <c r="F14" s="2"/>
      <c r="G14" s="2"/>
    </row>
    <row r="15" spans="1:15" x14ac:dyDescent="0.3">
      <c r="A15" s="22"/>
      <c r="B15" s="3">
        <v>11</v>
      </c>
      <c r="C15" s="2">
        <v>8.8849999999999998</v>
      </c>
      <c r="D15" s="3"/>
      <c r="E15" s="2"/>
      <c r="F15" s="2"/>
      <c r="G15" s="2"/>
    </row>
    <row r="16" spans="1:15" x14ac:dyDescent="0.3">
      <c r="A16" s="22"/>
      <c r="B16" s="3">
        <v>12</v>
      </c>
      <c r="C16" s="2">
        <v>8.8870000000000005</v>
      </c>
      <c r="D16" s="3">
        <f>AVERAGE(C12:C15)</f>
        <v>8.8155000000000001</v>
      </c>
      <c r="E16" s="3">
        <f>C16-D16</f>
        <v>7.1500000000000341E-2</v>
      </c>
      <c r="F16" s="3">
        <f>ABS(E16)</f>
        <v>7.1500000000000341E-2</v>
      </c>
      <c r="G16" s="3">
        <f>E16^2</f>
        <v>5.112250000000049E-3</v>
      </c>
    </row>
    <row r="17" spans="1:7" x14ac:dyDescent="0.3">
      <c r="A17" s="22"/>
      <c r="B17" s="3">
        <v>16</v>
      </c>
      <c r="C17" s="2">
        <v>8.8729999999999993</v>
      </c>
      <c r="D17" s="3">
        <f t="shared" ref="D17:D21" si="5">AVERAGE(C13:C16)</f>
        <v>8.8264999999999993</v>
      </c>
      <c r="E17" s="3">
        <f t="shared" ref="E17:E21" si="6">C17-D17</f>
        <v>4.6499999999999986E-2</v>
      </c>
      <c r="F17" s="3">
        <f t="shared" ref="F17:F21" si="7">ABS(E17)</f>
        <v>4.6499999999999986E-2</v>
      </c>
      <c r="G17" s="3">
        <f t="shared" ref="G17:G21" si="8">E17^2</f>
        <v>2.1622499999999988E-3</v>
      </c>
    </row>
    <row r="18" spans="1:7" x14ac:dyDescent="0.3">
      <c r="A18" s="22"/>
      <c r="B18" s="3">
        <v>20</v>
      </c>
      <c r="C18" s="2">
        <v>8.8759999999999994</v>
      </c>
      <c r="D18" s="3">
        <f t="shared" si="5"/>
        <v>8.8759999999999994</v>
      </c>
      <c r="E18" s="3">
        <f t="shared" si="6"/>
        <v>0</v>
      </c>
      <c r="F18" s="3">
        <f t="shared" si="7"/>
        <v>0</v>
      </c>
      <c r="G18" s="3">
        <f t="shared" si="8"/>
        <v>0</v>
      </c>
    </row>
    <row r="19" spans="1:7" x14ac:dyDescent="0.3">
      <c r="A19" s="22"/>
      <c r="B19" s="3">
        <v>0</v>
      </c>
      <c r="C19" s="2">
        <v>8.83</v>
      </c>
      <c r="D19" s="3">
        <f t="shared" si="5"/>
        <v>8.8802499999999984</v>
      </c>
      <c r="E19" s="3">
        <f t="shared" si="6"/>
        <v>-5.0249999999998352E-2</v>
      </c>
      <c r="F19" s="3">
        <f t="shared" si="7"/>
        <v>5.0249999999998352E-2</v>
      </c>
      <c r="G19" s="3">
        <f t="shared" si="8"/>
        <v>2.5250624999998343E-3</v>
      </c>
    </row>
    <row r="20" spans="1:7" x14ac:dyDescent="0.3">
      <c r="A20" s="22"/>
      <c r="B20" s="3" t="s">
        <v>312</v>
      </c>
      <c r="C20" s="7">
        <v>8.7989999999999995</v>
      </c>
      <c r="D20" s="3">
        <f t="shared" si="5"/>
        <v>8.8664999999999985</v>
      </c>
      <c r="E20" s="3">
        <f t="shared" si="6"/>
        <v>-6.7499999999999005E-2</v>
      </c>
      <c r="F20" s="3">
        <f t="shared" si="7"/>
        <v>6.7499999999999005E-2</v>
      </c>
      <c r="G20" s="3">
        <f t="shared" si="8"/>
        <v>4.556249999999866E-3</v>
      </c>
    </row>
    <row r="21" spans="1:7" x14ac:dyDescent="0.3">
      <c r="A21" s="23"/>
      <c r="B21" s="3" t="s">
        <v>313</v>
      </c>
      <c r="C21" s="7">
        <v>8.7639999999999993</v>
      </c>
      <c r="D21" s="3">
        <f t="shared" si="5"/>
        <v>8.8445</v>
      </c>
      <c r="E21" s="3">
        <f t="shared" si="6"/>
        <v>-8.0500000000000682E-2</v>
      </c>
      <c r="F21" s="3">
        <f t="shared" si="7"/>
        <v>8.0500000000000682E-2</v>
      </c>
      <c r="G21" s="3">
        <f t="shared" si="8"/>
        <v>6.4802500000001101E-3</v>
      </c>
    </row>
    <row r="22" spans="1:7" x14ac:dyDescent="0.3">
      <c r="A22" s="21">
        <v>46</v>
      </c>
      <c r="B22" s="9">
        <v>8</v>
      </c>
      <c r="C22" s="2">
        <v>8.7989999999999995</v>
      </c>
      <c r="D22" s="3"/>
      <c r="E22" s="3"/>
      <c r="F22" s="3"/>
      <c r="G22" s="12"/>
    </row>
    <row r="23" spans="1:7" x14ac:dyDescent="0.3">
      <c r="A23" s="22"/>
      <c r="B23" s="3">
        <v>9</v>
      </c>
      <c r="C23" s="2">
        <v>8.6120000000000001</v>
      </c>
      <c r="D23" s="3"/>
      <c r="E23" s="2"/>
      <c r="F23" s="2"/>
      <c r="G23" s="2"/>
    </row>
    <row r="24" spans="1:7" x14ac:dyDescent="0.3">
      <c r="A24" s="22"/>
      <c r="B24" s="3">
        <v>10</v>
      </c>
      <c r="C24" s="2">
        <v>8.7379999999999995</v>
      </c>
      <c r="D24" s="2"/>
      <c r="E24" s="2"/>
      <c r="F24" s="2"/>
      <c r="G24" s="2"/>
    </row>
    <row r="25" spans="1:7" x14ac:dyDescent="0.3">
      <c r="A25" s="22"/>
      <c r="B25" s="3">
        <v>11</v>
      </c>
      <c r="C25" s="2">
        <v>8.9009999999999998</v>
      </c>
      <c r="D25" s="2"/>
      <c r="E25" s="2"/>
      <c r="F25" s="2"/>
      <c r="G25" s="2"/>
    </row>
    <row r="26" spans="1:7" x14ac:dyDescent="0.3">
      <c r="A26" s="22"/>
      <c r="B26" s="3">
        <v>12</v>
      </c>
      <c r="C26" s="2">
        <v>8.8949999999999996</v>
      </c>
      <c r="D26" s="3">
        <f>AVERAGE(C22:C25)</f>
        <v>8.7624999999999993</v>
      </c>
      <c r="E26" s="3">
        <f>C26-D26</f>
        <v>0.13250000000000028</v>
      </c>
      <c r="F26" s="3">
        <f>ABS(E26)</f>
        <v>0.13250000000000028</v>
      </c>
      <c r="G26" s="3">
        <f>E26^2</f>
        <v>1.7556250000000075E-2</v>
      </c>
    </row>
    <row r="27" spans="1:7" x14ac:dyDescent="0.3">
      <c r="A27" s="22"/>
      <c r="B27" s="3">
        <v>16</v>
      </c>
      <c r="C27" s="2">
        <v>8.8239999999999998</v>
      </c>
      <c r="D27" s="3">
        <f t="shared" ref="D27:D31" si="9">AVERAGE(C23:C26)</f>
        <v>8.7865000000000002</v>
      </c>
      <c r="E27" s="3">
        <f t="shared" ref="E27:E31" si="10">C27-D27</f>
        <v>3.7499999999999645E-2</v>
      </c>
      <c r="F27" s="3">
        <f t="shared" ref="F27:F31" si="11">ABS(E27)</f>
        <v>3.7499999999999645E-2</v>
      </c>
      <c r="G27" s="3">
        <f t="shared" ref="G27:G31" si="12">E27^2</f>
        <v>1.4062499999999733E-3</v>
      </c>
    </row>
    <row r="28" spans="1:7" x14ac:dyDescent="0.3">
      <c r="A28" s="22"/>
      <c r="B28" s="3">
        <v>20</v>
      </c>
      <c r="C28" s="2">
        <v>8.8569999999999993</v>
      </c>
      <c r="D28" s="3">
        <f t="shared" si="9"/>
        <v>8.8394999999999992</v>
      </c>
      <c r="E28" s="3">
        <f t="shared" si="10"/>
        <v>1.7500000000000071E-2</v>
      </c>
      <c r="F28" s="3">
        <f t="shared" si="11"/>
        <v>1.7500000000000071E-2</v>
      </c>
      <c r="G28" s="3">
        <f t="shared" si="12"/>
        <v>3.0625000000000248E-4</v>
      </c>
    </row>
    <row r="29" spans="1:7" x14ac:dyDescent="0.3">
      <c r="A29" s="22"/>
      <c r="B29" s="3">
        <v>0</v>
      </c>
      <c r="C29" s="2">
        <v>8.8610000000000007</v>
      </c>
      <c r="D29" s="3">
        <f t="shared" si="9"/>
        <v>8.8692499999999992</v>
      </c>
      <c r="E29" s="3">
        <f t="shared" si="10"/>
        <v>-8.2499999999985363E-3</v>
      </c>
      <c r="F29" s="3">
        <f t="shared" si="11"/>
        <v>8.2499999999985363E-3</v>
      </c>
      <c r="G29" s="3">
        <f t="shared" si="12"/>
        <v>6.8062499999975844E-5</v>
      </c>
    </row>
    <row r="30" spans="1:7" x14ac:dyDescent="0.3">
      <c r="A30" s="22"/>
      <c r="B30" s="3" t="s">
        <v>312</v>
      </c>
      <c r="C30" s="7">
        <v>8.75</v>
      </c>
      <c r="D30" s="3">
        <f t="shared" si="9"/>
        <v>8.8592499999999994</v>
      </c>
      <c r="E30" s="3">
        <f t="shared" si="10"/>
        <v>-0.1092499999999994</v>
      </c>
      <c r="F30" s="3">
        <f t="shared" si="11"/>
        <v>0.1092499999999994</v>
      </c>
      <c r="G30" s="3">
        <f t="shared" si="12"/>
        <v>1.193556249999987E-2</v>
      </c>
    </row>
    <row r="31" spans="1:7" x14ac:dyDescent="0.3">
      <c r="A31" s="23"/>
      <c r="B31" s="3" t="s">
        <v>313</v>
      </c>
      <c r="C31" s="7">
        <v>8.7810000000000006</v>
      </c>
      <c r="D31" s="3">
        <f t="shared" si="9"/>
        <v>8.8230000000000004</v>
      </c>
      <c r="E31" s="3">
        <f t="shared" si="10"/>
        <v>-4.1999999999999815E-2</v>
      </c>
      <c r="F31" s="3">
        <f t="shared" si="11"/>
        <v>4.1999999999999815E-2</v>
      </c>
      <c r="G31" s="3">
        <f t="shared" si="12"/>
        <v>1.7639999999999845E-3</v>
      </c>
    </row>
    <row r="32" spans="1:7" x14ac:dyDescent="0.3">
      <c r="A32" s="21" t="s">
        <v>309</v>
      </c>
      <c r="B32" s="3">
        <v>8</v>
      </c>
      <c r="C32" s="2">
        <v>8.7620000000000005</v>
      </c>
      <c r="D32" s="3"/>
      <c r="E32" s="3"/>
      <c r="F32" s="3"/>
      <c r="G32" s="12"/>
    </row>
    <row r="33" spans="1:7" x14ac:dyDescent="0.3">
      <c r="A33" s="22"/>
      <c r="B33" s="3">
        <v>9</v>
      </c>
      <c r="C33" s="2">
        <v>8.6460000000000008</v>
      </c>
      <c r="D33" s="2"/>
      <c r="E33" s="2"/>
      <c r="F33" s="2"/>
      <c r="G33" s="2"/>
    </row>
    <row r="34" spans="1:7" x14ac:dyDescent="0.3">
      <c r="A34" s="22"/>
      <c r="B34" s="3">
        <v>10</v>
      </c>
      <c r="C34" s="2">
        <v>8.9120000000000008</v>
      </c>
      <c r="D34" s="2"/>
      <c r="E34" s="2"/>
      <c r="F34" s="2"/>
      <c r="G34" s="2"/>
    </row>
    <row r="35" spans="1:7" x14ac:dyDescent="0.3">
      <c r="A35" s="22"/>
      <c r="B35" s="3">
        <v>11</v>
      </c>
      <c r="C35" s="2">
        <v>8.9239999999999995</v>
      </c>
      <c r="D35" s="2"/>
      <c r="E35" s="2"/>
      <c r="F35" s="2"/>
      <c r="G35" s="2"/>
    </row>
    <row r="36" spans="1:7" x14ac:dyDescent="0.3">
      <c r="A36" s="22"/>
      <c r="B36" s="3">
        <v>12</v>
      </c>
      <c r="C36" s="2">
        <v>8.9160000000000004</v>
      </c>
      <c r="D36" s="3">
        <f>AVERAGE(C32:C35)</f>
        <v>8.8109999999999999</v>
      </c>
      <c r="E36" s="3">
        <f>C36-D36</f>
        <v>0.10500000000000043</v>
      </c>
      <c r="F36" s="3">
        <f>ABS(E36)</f>
        <v>0.10500000000000043</v>
      </c>
      <c r="G36" s="3">
        <f>E36^2</f>
        <v>1.102500000000009E-2</v>
      </c>
    </row>
    <row r="37" spans="1:7" x14ac:dyDescent="0.3">
      <c r="A37" s="22"/>
      <c r="B37" s="3">
        <v>16</v>
      </c>
      <c r="C37" s="2">
        <v>8.9239999999999995</v>
      </c>
      <c r="D37" s="3">
        <f t="shared" ref="D37:D41" si="13">AVERAGE(C33:C36)</f>
        <v>8.849499999999999</v>
      </c>
      <c r="E37" s="3">
        <f t="shared" ref="E37:E41" si="14">C37-D37</f>
        <v>7.4500000000000455E-2</v>
      </c>
      <c r="F37" s="3">
        <f t="shared" ref="F37:F41" si="15">ABS(E37)</f>
        <v>7.4500000000000455E-2</v>
      </c>
      <c r="G37" s="3">
        <f t="shared" ref="G37:G41" si="16">E37^2</f>
        <v>5.5502500000000681E-3</v>
      </c>
    </row>
    <row r="38" spans="1:7" x14ac:dyDescent="0.3">
      <c r="A38" s="22"/>
      <c r="B38" s="3">
        <v>20</v>
      </c>
      <c r="C38" s="2">
        <v>8.8979999999999997</v>
      </c>
      <c r="D38" s="3">
        <f t="shared" si="13"/>
        <v>8.9190000000000005</v>
      </c>
      <c r="E38" s="3">
        <f t="shared" si="14"/>
        <v>-2.1000000000000796E-2</v>
      </c>
      <c r="F38" s="3">
        <f t="shared" si="15"/>
        <v>2.1000000000000796E-2</v>
      </c>
      <c r="G38" s="3">
        <f t="shared" si="16"/>
        <v>4.4100000000003343E-4</v>
      </c>
    </row>
    <row r="39" spans="1:7" x14ac:dyDescent="0.3">
      <c r="A39" s="22"/>
      <c r="B39" s="3">
        <v>0</v>
      </c>
      <c r="C39" s="2">
        <v>8.8770000000000007</v>
      </c>
      <c r="D39" s="3">
        <f t="shared" si="13"/>
        <v>8.9154999999999998</v>
      </c>
      <c r="E39" s="3">
        <f t="shared" si="14"/>
        <v>-3.8499999999999091E-2</v>
      </c>
      <c r="F39" s="3">
        <f t="shared" si="15"/>
        <v>3.8499999999999091E-2</v>
      </c>
      <c r="G39" s="3">
        <f t="shared" si="16"/>
        <v>1.48224999999993E-3</v>
      </c>
    </row>
    <row r="40" spans="1:7" x14ac:dyDescent="0.3">
      <c r="A40" s="22"/>
      <c r="B40" s="3" t="s">
        <v>312</v>
      </c>
      <c r="C40" s="7">
        <v>8.8699999999999992</v>
      </c>
      <c r="D40" s="3">
        <f t="shared" si="13"/>
        <v>8.9037500000000005</v>
      </c>
      <c r="E40" s="3">
        <f t="shared" si="14"/>
        <v>-3.3750000000001279E-2</v>
      </c>
      <c r="F40" s="3">
        <f t="shared" si="15"/>
        <v>3.3750000000001279E-2</v>
      </c>
      <c r="G40" s="3">
        <f t="shared" si="16"/>
        <v>1.1390625000000864E-3</v>
      </c>
    </row>
    <row r="41" spans="1:7" x14ac:dyDescent="0.3">
      <c r="A41" s="23"/>
      <c r="B41" s="3" t="s">
        <v>313</v>
      </c>
      <c r="C41" s="7">
        <v>8.8309999999999995</v>
      </c>
      <c r="D41" s="3">
        <f t="shared" si="13"/>
        <v>8.8922499999999989</v>
      </c>
      <c r="E41" s="3">
        <f t="shared" si="14"/>
        <v>-6.1249999999999361E-2</v>
      </c>
      <c r="F41" s="3">
        <f t="shared" si="15"/>
        <v>6.1249999999999361E-2</v>
      </c>
      <c r="G41" s="3">
        <f t="shared" si="16"/>
        <v>3.7515624999999216E-3</v>
      </c>
    </row>
    <row r="42" spans="1:7" x14ac:dyDescent="0.3">
      <c r="A42" s="21" t="s">
        <v>310</v>
      </c>
      <c r="B42" s="3">
        <v>8</v>
      </c>
      <c r="C42" s="2">
        <v>8.4009999999999998</v>
      </c>
      <c r="D42" s="3"/>
      <c r="E42" s="3"/>
      <c r="F42" s="3"/>
      <c r="G42" s="12"/>
    </row>
    <row r="43" spans="1:7" x14ac:dyDescent="0.3">
      <c r="A43" s="22"/>
      <c r="B43" s="3">
        <v>9</v>
      </c>
      <c r="C43" s="2">
        <v>8.4039999999999999</v>
      </c>
      <c r="E43" s="2"/>
      <c r="F43" s="2"/>
      <c r="G43" s="2"/>
    </row>
    <row r="44" spans="1:7" x14ac:dyDescent="0.3">
      <c r="A44" s="22"/>
      <c r="B44" s="3">
        <v>10</v>
      </c>
      <c r="C44" s="2">
        <v>8.8249999999999993</v>
      </c>
      <c r="D44" s="2"/>
      <c r="E44" s="2"/>
      <c r="F44" s="2"/>
      <c r="G44" s="2"/>
    </row>
    <row r="45" spans="1:7" x14ac:dyDescent="0.3">
      <c r="A45" s="22"/>
      <c r="B45" s="3">
        <v>11</v>
      </c>
      <c r="C45" s="2">
        <v>8.8699999999999992</v>
      </c>
      <c r="D45" s="2"/>
      <c r="E45" s="2"/>
      <c r="F45" s="2"/>
      <c r="G45" s="2"/>
    </row>
    <row r="46" spans="1:7" x14ac:dyDescent="0.3">
      <c r="A46" s="22"/>
      <c r="B46" s="3">
        <v>12</v>
      </c>
      <c r="C46" s="2">
        <v>8.8369999999999997</v>
      </c>
      <c r="D46" s="3">
        <f>AVERAGE(C42:C45)</f>
        <v>8.625</v>
      </c>
      <c r="E46" s="3">
        <f>C46-D46</f>
        <v>0.21199999999999974</v>
      </c>
      <c r="F46" s="3">
        <f>ABS(E46)</f>
        <v>0.21199999999999974</v>
      </c>
      <c r="G46" s="3">
        <f>E46^2</f>
        <v>4.4943999999999894E-2</v>
      </c>
    </row>
    <row r="47" spans="1:7" x14ac:dyDescent="0.3">
      <c r="A47" s="22"/>
      <c r="B47" s="3">
        <v>16</v>
      </c>
      <c r="C47" s="2">
        <v>8.8490000000000002</v>
      </c>
      <c r="D47" s="3">
        <f t="shared" ref="D47:D51" si="17">AVERAGE(C43:C46)</f>
        <v>8.7339999999999982</v>
      </c>
      <c r="E47" s="3">
        <f t="shared" ref="E47:E51" si="18">C47-D47</f>
        <v>0.11500000000000199</v>
      </c>
      <c r="F47" s="3">
        <f t="shared" ref="F47:F51" si="19">ABS(E47)</f>
        <v>0.11500000000000199</v>
      </c>
      <c r="G47" s="3">
        <f t="shared" ref="G47:G51" si="20">E47^2</f>
        <v>1.3225000000000457E-2</v>
      </c>
    </row>
    <row r="48" spans="1:7" x14ac:dyDescent="0.3">
      <c r="A48" s="22"/>
      <c r="B48" s="3">
        <v>20</v>
      </c>
      <c r="C48" s="2">
        <v>8.8729999999999993</v>
      </c>
      <c r="D48" s="3">
        <f t="shared" si="17"/>
        <v>8.8452500000000001</v>
      </c>
      <c r="E48" s="3">
        <f t="shared" si="18"/>
        <v>2.7749999999999275E-2</v>
      </c>
      <c r="F48" s="3">
        <f t="shared" si="19"/>
        <v>2.7749999999999275E-2</v>
      </c>
      <c r="G48" s="3">
        <f t="shared" si="20"/>
        <v>7.700624999999598E-4</v>
      </c>
    </row>
    <row r="49" spans="1:7" x14ac:dyDescent="0.3">
      <c r="A49" s="22"/>
      <c r="B49" s="3">
        <v>0</v>
      </c>
      <c r="C49" s="2">
        <v>8.5879999999999992</v>
      </c>
      <c r="D49" s="3">
        <f t="shared" si="17"/>
        <v>8.8572500000000005</v>
      </c>
      <c r="E49" s="3">
        <f t="shared" si="18"/>
        <v>-0.26925000000000132</v>
      </c>
      <c r="F49" s="3">
        <f t="shared" si="19"/>
        <v>0.26925000000000132</v>
      </c>
      <c r="G49" s="3">
        <f t="shared" si="20"/>
        <v>7.2495562500000707E-2</v>
      </c>
    </row>
    <row r="50" spans="1:7" x14ac:dyDescent="0.3">
      <c r="A50" s="22"/>
      <c r="B50" s="3" t="s">
        <v>312</v>
      </c>
      <c r="C50" s="7">
        <v>8.7799999999999994</v>
      </c>
      <c r="D50" s="3">
        <f t="shared" si="17"/>
        <v>8.7867499999999996</v>
      </c>
      <c r="E50" s="3">
        <f t="shared" si="18"/>
        <v>-6.7500000000002558E-3</v>
      </c>
      <c r="F50" s="3">
        <f t="shared" si="19"/>
        <v>6.7500000000002558E-3</v>
      </c>
      <c r="G50" s="3">
        <f t="shared" si="20"/>
        <v>4.5562500000003452E-5</v>
      </c>
    </row>
    <row r="51" spans="1:7" x14ac:dyDescent="0.3">
      <c r="A51" s="23"/>
      <c r="B51" s="3" t="s">
        <v>313</v>
      </c>
      <c r="C51" s="7">
        <v>8.7750000000000004</v>
      </c>
      <c r="D51" s="3">
        <f t="shared" si="17"/>
        <v>8.7725000000000009</v>
      </c>
      <c r="E51" s="3">
        <f t="shared" si="18"/>
        <v>2.4999999999995026E-3</v>
      </c>
      <c r="F51" s="3">
        <f t="shared" si="19"/>
        <v>2.4999999999995026E-3</v>
      </c>
      <c r="G51" s="3">
        <f t="shared" si="20"/>
        <v>6.2499999999975134E-6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BEE7-4CBC-43AF-9017-A52DD46D9D76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8.88671875" style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304</v>
      </c>
      <c r="D1" s="10" t="s">
        <v>323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2">
        <v>256.3</v>
      </c>
      <c r="D2" s="3"/>
      <c r="E2" s="3"/>
      <c r="F2" s="3"/>
      <c r="G2" s="12"/>
    </row>
    <row r="3" spans="1:15" x14ac:dyDescent="0.3">
      <c r="A3" s="22"/>
      <c r="B3" s="3">
        <v>9</v>
      </c>
      <c r="C3" s="2">
        <v>261.89999999999998</v>
      </c>
      <c r="D3" s="3"/>
      <c r="E3" s="3"/>
      <c r="F3" s="3"/>
      <c r="G3" s="12"/>
    </row>
    <row r="4" spans="1:15" x14ac:dyDescent="0.3">
      <c r="A4" s="22"/>
      <c r="B4" s="3">
        <v>10</v>
      </c>
      <c r="C4" s="2">
        <v>242.9</v>
      </c>
      <c r="D4" s="3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2">
        <v>247.2</v>
      </c>
      <c r="D5" s="3"/>
      <c r="E5" s="3"/>
      <c r="F5" s="3"/>
      <c r="G5" s="12"/>
      <c r="J5" s="2" t="s">
        <v>297</v>
      </c>
      <c r="K5" s="3">
        <f>AVERAGE(E6:E11)</f>
        <v>-6.0583333333333327</v>
      </c>
      <c r="L5" s="3">
        <f>AVERAGE(F6:F11)</f>
        <v>12.275</v>
      </c>
      <c r="M5" s="3">
        <f>AVERAGE(G6:G11)</f>
        <v>243.59916666666663</v>
      </c>
      <c r="N5" s="3">
        <f>SQRT(M5)</f>
        <v>15.607663715837377</v>
      </c>
      <c r="O5" s="3">
        <f>N5/AVERAGE(C6:C11)*100</f>
        <v>6.5573826969416897</v>
      </c>
    </row>
    <row r="6" spans="1:15" x14ac:dyDescent="0.3">
      <c r="A6" s="22"/>
      <c r="B6" s="3">
        <v>12</v>
      </c>
      <c r="C6" s="2">
        <v>257.89999999999998</v>
      </c>
      <c r="D6" s="3">
        <f>AVERAGE(C2:C5)</f>
        <v>252.07499999999999</v>
      </c>
      <c r="E6" s="3">
        <f>C6-D6</f>
        <v>5.8249999999999886</v>
      </c>
      <c r="F6" s="3">
        <f>ABS(E6)</f>
        <v>5.8249999999999886</v>
      </c>
      <c r="G6" s="3">
        <f>E6^2</f>
        <v>33.930624999999864</v>
      </c>
      <c r="J6" s="2">
        <v>33</v>
      </c>
      <c r="K6" s="3">
        <f>AVERAGE(E16:E21)</f>
        <v>-4.7416666666666787</v>
      </c>
      <c r="L6" s="3">
        <f>AVERAGE(F16:F21)</f>
        <v>8.025000000000011</v>
      </c>
      <c r="M6" s="3">
        <f>AVERAGE(G16:G21)</f>
        <v>89.412708333333455</v>
      </c>
      <c r="N6" s="3">
        <f t="shared" ref="N6:N9" si="0">SQRT(M6)</f>
        <v>9.455829330806127</v>
      </c>
      <c r="O6" s="3">
        <f>N6/AVERAGE(C16:C21)*100</f>
        <v>4.6084782702328626</v>
      </c>
    </row>
    <row r="7" spans="1:15" x14ac:dyDescent="0.3">
      <c r="A7" s="22"/>
      <c r="B7" s="3">
        <v>16</v>
      </c>
      <c r="C7" s="2">
        <v>246.6</v>
      </c>
      <c r="D7" s="3">
        <f t="shared" ref="D7:D11" si="1">AVERAGE(C3:C6)</f>
        <v>252.47499999999999</v>
      </c>
      <c r="E7" s="3">
        <f t="shared" ref="E7:E11" si="2">C7-D7</f>
        <v>-5.875</v>
      </c>
      <c r="F7" s="3">
        <f t="shared" ref="F7:F11" si="3">ABS(E7)</f>
        <v>5.875</v>
      </c>
      <c r="G7" s="3">
        <f t="shared" ref="G7:G11" si="4">E7^2</f>
        <v>34.515625</v>
      </c>
      <c r="J7" s="2">
        <v>46</v>
      </c>
      <c r="K7" s="3">
        <f>AVERAGE(E26:E31)</f>
        <v>-4.5124999999999984</v>
      </c>
      <c r="L7" s="3">
        <f>AVERAGE(F26:F31)</f>
        <v>20.379166666666663</v>
      </c>
      <c r="M7" s="3">
        <f>AVERAGE(G26:G31)</f>
        <v>606.26489583333284</v>
      </c>
      <c r="N7" s="3">
        <f t="shared" si="0"/>
        <v>24.622446991177235</v>
      </c>
      <c r="O7" s="3">
        <f>N7/AVERAGE(C26:C31)*100</f>
        <v>12.573164421026672</v>
      </c>
    </row>
    <row r="8" spans="1:15" x14ac:dyDescent="0.3">
      <c r="A8" s="22"/>
      <c r="B8" s="3">
        <v>20</v>
      </c>
      <c r="C8" s="2">
        <v>220.2</v>
      </c>
      <c r="D8" s="3">
        <f t="shared" si="1"/>
        <v>248.65</v>
      </c>
      <c r="E8" s="3">
        <f t="shared" si="2"/>
        <v>-28.450000000000017</v>
      </c>
      <c r="F8" s="3">
        <f t="shared" si="3"/>
        <v>28.450000000000017</v>
      </c>
      <c r="G8" s="3">
        <f t="shared" si="4"/>
        <v>809.40250000000094</v>
      </c>
      <c r="J8" s="2" t="s">
        <v>309</v>
      </c>
      <c r="K8" s="3">
        <f>AVERAGE(E36:E41)</f>
        <v>-12.441666666666658</v>
      </c>
      <c r="L8" s="3">
        <f>AVERAGE(F36:F41)</f>
        <v>15.85</v>
      </c>
      <c r="M8" s="3">
        <f>AVERAGE(G36:G41)</f>
        <v>530.74020833333327</v>
      </c>
      <c r="N8" s="3">
        <f t="shared" si="0"/>
        <v>23.037799554934349</v>
      </c>
      <c r="O8" s="3">
        <f>N8/AVERAGE(C36:C41)*100</f>
        <v>12.128349331368437</v>
      </c>
    </row>
    <row r="9" spans="1:15" x14ac:dyDescent="0.3">
      <c r="A9" s="22"/>
      <c r="B9" s="3">
        <v>0</v>
      </c>
      <c r="C9" s="2">
        <v>222.5</v>
      </c>
      <c r="D9" s="3">
        <f t="shared" si="1"/>
        <v>242.97499999999997</v>
      </c>
      <c r="E9" s="3">
        <f t="shared" si="2"/>
        <v>-20.474999999999966</v>
      </c>
      <c r="F9" s="3">
        <f t="shared" si="3"/>
        <v>20.474999999999966</v>
      </c>
      <c r="G9" s="3">
        <f t="shared" si="4"/>
        <v>419.22562499999862</v>
      </c>
      <c r="J9" s="2" t="s">
        <v>310</v>
      </c>
      <c r="K9" s="3">
        <f>AVERAGE(E46:E51)</f>
        <v>-11.958333333333334</v>
      </c>
      <c r="L9" s="3">
        <f>AVERAGE(F46:F51)</f>
        <v>14.10833333333334</v>
      </c>
      <c r="M9" s="3">
        <f>AVERAGE(G46:G51)</f>
        <v>229.94041666666678</v>
      </c>
      <c r="N9" s="3">
        <f t="shared" si="0"/>
        <v>15.163786356535981</v>
      </c>
      <c r="O9" s="3">
        <f>N9/AVERAGE(C46:C51)*100</f>
        <v>7.530435204371452</v>
      </c>
    </row>
    <row r="10" spans="1:15" x14ac:dyDescent="0.3">
      <c r="A10" s="22"/>
      <c r="B10" s="3" t="s">
        <v>312</v>
      </c>
      <c r="C10" s="6">
        <v>236.6</v>
      </c>
      <c r="D10" s="3">
        <f t="shared" si="1"/>
        <v>236.8</v>
      </c>
      <c r="E10" s="3">
        <f t="shared" si="2"/>
        <v>-0.20000000000001705</v>
      </c>
      <c r="F10" s="3">
        <f t="shared" si="3"/>
        <v>0.20000000000001705</v>
      </c>
      <c r="G10" s="3">
        <f t="shared" si="4"/>
        <v>4.0000000000006822E-2</v>
      </c>
    </row>
    <row r="11" spans="1:15" x14ac:dyDescent="0.3">
      <c r="A11" s="23"/>
      <c r="B11" s="3" t="s">
        <v>313</v>
      </c>
      <c r="C11" s="6">
        <v>244.3</v>
      </c>
      <c r="D11" s="3">
        <f t="shared" si="1"/>
        <v>231.47499999999999</v>
      </c>
      <c r="E11" s="3">
        <f t="shared" si="2"/>
        <v>12.825000000000017</v>
      </c>
      <c r="F11" s="3">
        <f t="shared" si="3"/>
        <v>12.825000000000017</v>
      </c>
      <c r="G11" s="3">
        <f t="shared" si="4"/>
        <v>164.48062500000043</v>
      </c>
    </row>
    <row r="12" spans="1:15" x14ac:dyDescent="0.3">
      <c r="A12" s="21">
        <v>33</v>
      </c>
      <c r="B12" s="9">
        <v>8</v>
      </c>
      <c r="C12" s="2">
        <v>158.80000000000001</v>
      </c>
      <c r="D12" s="3"/>
      <c r="E12" s="3"/>
      <c r="F12" s="3"/>
      <c r="G12" s="12"/>
      <c r="K12" s="4"/>
      <c r="L12" s="4"/>
      <c r="M12" s="4"/>
      <c r="N12" s="4"/>
    </row>
    <row r="13" spans="1:15" x14ac:dyDescent="0.3">
      <c r="A13" s="22"/>
      <c r="B13" s="3">
        <v>9</v>
      </c>
      <c r="C13" s="2">
        <v>223.7</v>
      </c>
      <c r="D13" s="3"/>
      <c r="E13" s="2"/>
      <c r="F13" s="2"/>
      <c r="G13" s="2"/>
      <c r="K13" s="4"/>
      <c r="L13" s="4"/>
      <c r="M13" s="4"/>
      <c r="N13" s="4"/>
    </row>
    <row r="14" spans="1:15" x14ac:dyDescent="0.3">
      <c r="A14" s="22"/>
      <c r="B14" s="3">
        <v>10</v>
      </c>
      <c r="C14" s="2">
        <v>218.4</v>
      </c>
      <c r="D14" s="3"/>
      <c r="E14" s="2"/>
      <c r="F14" s="2"/>
      <c r="G14" s="2"/>
      <c r="K14" s="4"/>
      <c r="L14" s="4"/>
      <c r="M14" s="4"/>
      <c r="N14" s="4"/>
    </row>
    <row r="15" spans="1:15" x14ac:dyDescent="0.3">
      <c r="A15" s="22"/>
      <c r="B15" s="3">
        <v>11</v>
      </c>
      <c r="C15" s="2">
        <v>218.1</v>
      </c>
      <c r="D15" s="3"/>
      <c r="E15" s="2"/>
      <c r="F15" s="2"/>
      <c r="G15" s="2"/>
      <c r="K15" s="4"/>
      <c r="L15" s="4"/>
      <c r="M15" s="4"/>
      <c r="N15" s="4"/>
    </row>
    <row r="16" spans="1:15" x14ac:dyDescent="0.3">
      <c r="A16" s="22"/>
      <c r="B16" s="3">
        <v>12</v>
      </c>
      <c r="C16" s="2">
        <v>214.6</v>
      </c>
      <c r="D16" s="3">
        <f>AVERAGE(C12:C15)</f>
        <v>204.75</v>
      </c>
      <c r="E16" s="3">
        <f>C16-D16</f>
        <v>9.8499999999999943</v>
      </c>
      <c r="F16" s="3">
        <f>ABS(E16)</f>
        <v>9.8499999999999943</v>
      </c>
      <c r="G16" s="3">
        <f>E16^2</f>
        <v>97.022499999999894</v>
      </c>
      <c r="K16" s="4"/>
      <c r="L16" s="4"/>
      <c r="M16" s="4"/>
      <c r="N16" s="4"/>
    </row>
    <row r="17" spans="1:7" x14ac:dyDescent="0.3">
      <c r="A17" s="22"/>
      <c r="B17" s="3">
        <v>16</v>
      </c>
      <c r="C17" s="2">
        <v>208.3</v>
      </c>
      <c r="D17" s="3">
        <f t="shared" ref="D17:D21" si="5">AVERAGE(C13:C16)</f>
        <v>218.70000000000002</v>
      </c>
      <c r="E17" s="3">
        <f t="shared" ref="E17:E21" si="6">C17-D17</f>
        <v>-10.400000000000006</v>
      </c>
      <c r="F17" s="3">
        <f t="shared" ref="F17:F21" si="7">ABS(E17)</f>
        <v>10.400000000000006</v>
      </c>
      <c r="G17" s="3">
        <f t="shared" ref="G17:G21" si="8">E17^2</f>
        <v>108.16000000000012</v>
      </c>
    </row>
    <row r="18" spans="1:7" x14ac:dyDescent="0.3">
      <c r="A18" s="22"/>
      <c r="B18" s="3">
        <v>20</v>
      </c>
      <c r="C18" s="2">
        <v>198.3</v>
      </c>
      <c r="D18" s="3">
        <f t="shared" si="5"/>
        <v>214.85000000000002</v>
      </c>
      <c r="E18" s="3">
        <f t="shared" si="6"/>
        <v>-16.550000000000011</v>
      </c>
      <c r="F18" s="3">
        <f t="shared" si="7"/>
        <v>16.550000000000011</v>
      </c>
      <c r="G18" s="3">
        <f t="shared" si="8"/>
        <v>273.90250000000037</v>
      </c>
    </row>
    <row r="19" spans="1:7" x14ac:dyDescent="0.3">
      <c r="A19" s="22"/>
      <c r="B19" s="3">
        <v>0</v>
      </c>
      <c r="C19" s="2">
        <v>206.1</v>
      </c>
      <c r="D19" s="3">
        <f t="shared" si="5"/>
        <v>209.82499999999999</v>
      </c>
      <c r="E19" s="3">
        <f t="shared" si="6"/>
        <v>-3.7249999999999943</v>
      </c>
      <c r="F19" s="3">
        <f t="shared" si="7"/>
        <v>3.7249999999999943</v>
      </c>
      <c r="G19" s="3">
        <f t="shared" si="8"/>
        <v>13.875624999999957</v>
      </c>
    </row>
    <row r="20" spans="1:7" x14ac:dyDescent="0.3">
      <c r="A20" s="22"/>
      <c r="B20" s="3" t="s">
        <v>312</v>
      </c>
      <c r="C20" s="6">
        <v>205.7</v>
      </c>
      <c r="D20" s="3">
        <f t="shared" si="5"/>
        <v>206.82500000000002</v>
      </c>
      <c r="E20" s="3">
        <f t="shared" si="6"/>
        <v>-1.1250000000000284</v>
      </c>
      <c r="F20" s="3">
        <f t="shared" si="7"/>
        <v>1.1250000000000284</v>
      </c>
      <c r="G20" s="3">
        <f t="shared" si="8"/>
        <v>1.2656250000000639</v>
      </c>
    </row>
    <row r="21" spans="1:7" x14ac:dyDescent="0.3">
      <c r="A21" s="23"/>
      <c r="B21" s="3" t="s">
        <v>313</v>
      </c>
      <c r="C21" s="6">
        <v>198.1</v>
      </c>
      <c r="D21" s="3">
        <f t="shared" si="5"/>
        <v>204.60000000000002</v>
      </c>
      <c r="E21" s="3">
        <f t="shared" si="6"/>
        <v>-6.5000000000000284</v>
      </c>
      <c r="F21" s="3">
        <f t="shared" si="7"/>
        <v>6.5000000000000284</v>
      </c>
      <c r="G21" s="3">
        <f t="shared" si="8"/>
        <v>42.250000000000369</v>
      </c>
    </row>
    <row r="22" spans="1:7" x14ac:dyDescent="0.3">
      <c r="A22" s="21">
        <v>46</v>
      </c>
      <c r="B22" s="9">
        <v>8</v>
      </c>
      <c r="C22" s="2">
        <v>139.6</v>
      </c>
      <c r="D22" s="3"/>
      <c r="E22" s="3"/>
      <c r="F22" s="3"/>
      <c r="G22" s="12"/>
    </row>
    <row r="23" spans="1:7" x14ac:dyDescent="0.3">
      <c r="A23" s="22"/>
      <c r="B23" s="3">
        <v>9</v>
      </c>
      <c r="C23" s="2">
        <v>217.7</v>
      </c>
      <c r="D23" s="3"/>
      <c r="E23" s="2"/>
      <c r="F23" s="2"/>
      <c r="G23" s="2"/>
    </row>
    <row r="24" spans="1:7" x14ac:dyDescent="0.3">
      <c r="A24" s="22"/>
      <c r="B24" s="3">
        <v>10</v>
      </c>
      <c r="C24" s="2">
        <v>223.7</v>
      </c>
      <c r="D24" s="2"/>
      <c r="E24" s="2"/>
      <c r="F24" s="2"/>
      <c r="G24" s="2"/>
    </row>
    <row r="25" spans="1:7" x14ac:dyDescent="0.3">
      <c r="A25" s="22"/>
      <c r="B25" s="3">
        <v>11</v>
      </c>
      <c r="C25" s="2">
        <v>212.5</v>
      </c>
      <c r="D25" s="2"/>
      <c r="E25" s="2"/>
      <c r="F25" s="2"/>
      <c r="G25" s="2"/>
    </row>
    <row r="26" spans="1:7" x14ac:dyDescent="0.3">
      <c r="A26" s="22"/>
      <c r="B26" s="3">
        <v>12</v>
      </c>
      <c r="C26" s="2">
        <v>215.1</v>
      </c>
      <c r="D26" s="3">
        <f>AVERAGE(C22:C25)</f>
        <v>198.375</v>
      </c>
      <c r="E26" s="3">
        <f>C26-D26</f>
        <v>16.724999999999994</v>
      </c>
      <c r="F26" s="3">
        <f>ABS(E26)</f>
        <v>16.724999999999994</v>
      </c>
      <c r="G26" s="3">
        <f>E26^2</f>
        <v>279.72562499999981</v>
      </c>
    </row>
    <row r="27" spans="1:7" x14ac:dyDescent="0.3">
      <c r="A27" s="22"/>
      <c r="B27" s="3">
        <v>16</v>
      </c>
      <c r="C27" s="2">
        <v>193.8</v>
      </c>
      <c r="D27" s="3">
        <f t="shared" ref="D27:D31" si="9">AVERAGE(C23:C26)</f>
        <v>217.25</v>
      </c>
      <c r="E27" s="3">
        <f t="shared" ref="E27:E31" si="10">C27-D27</f>
        <v>-23.449999999999989</v>
      </c>
      <c r="F27" s="3">
        <f t="shared" ref="F27:F31" si="11">ABS(E27)</f>
        <v>23.449999999999989</v>
      </c>
      <c r="G27" s="3">
        <f t="shared" ref="G27:G31" si="12">E27^2</f>
        <v>549.90249999999946</v>
      </c>
    </row>
    <row r="28" spans="1:7" x14ac:dyDescent="0.3">
      <c r="A28" s="22"/>
      <c r="B28" s="3">
        <v>20</v>
      </c>
      <c r="C28" s="2">
        <v>164.4</v>
      </c>
      <c r="D28" s="3">
        <f t="shared" si="9"/>
        <v>211.27499999999998</v>
      </c>
      <c r="E28" s="3">
        <f t="shared" si="10"/>
        <v>-46.874999999999972</v>
      </c>
      <c r="F28" s="3">
        <f t="shared" si="11"/>
        <v>46.874999999999972</v>
      </c>
      <c r="G28" s="3">
        <f t="shared" si="12"/>
        <v>2197.2656249999973</v>
      </c>
    </row>
    <row r="29" spans="1:7" x14ac:dyDescent="0.3">
      <c r="A29" s="22"/>
      <c r="B29" s="3">
        <v>0</v>
      </c>
      <c r="C29" s="2">
        <v>192.1</v>
      </c>
      <c r="D29" s="3">
        <f t="shared" si="9"/>
        <v>196.45000000000002</v>
      </c>
      <c r="E29" s="3">
        <f t="shared" si="10"/>
        <v>-4.3500000000000227</v>
      </c>
      <c r="F29" s="3">
        <f t="shared" si="11"/>
        <v>4.3500000000000227</v>
      </c>
      <c r="G29" s="3">
        <f t="shared" si="12"/>
        <v>18.922500000000198</v>
      </c>
    </row>
    <row r="30" spans="1:7" x14ac:dyDescent="0.3">
      <c r="A30" s="22"/>
      <c r="B30" s="3" t="s">
        <v>312</v>
      </c>
      <c r="C30" s="6">
        <v>199.2</v>
      </c>
      <c r="D30" s="3">
        <f t="shared" si="9"/>
        <v>191.35</v>
      </c>
      <c r="E30" s="3">
        <f t="shared" si="10"/>
        <v>7.8499999999999943</v>
      </c>
      <c r="F30" s="3">
        <f t="shared" si="11"/>
        <v>7.8499999999999943</v>
      </c>
      <c r="G30" s="3">
        <f t="shared" si="12"/>
        <v>61.62249999999991</v>
      </c>
    </row>
    <row r="31" spans="1:7" x14ac:dyDescent="0.3">
      <c r="A31" s="23"/>
      <c r="B31" s="3" t="s">
        <v>313</v>
      </c>
      <c r="C31" s="6">
        <v>210.4</v>
      </c>
      <c r="D31" s="3">
        <f t="shared" si="9"/>
        <v>187.375</v>
      </c>
      <c r="E31" s="3">
        <f t="shared" si="10"/>
        <v>23.025000000000006</v>
      </c>
      <c r="F31" s="3">
        <f t="shared" si="11"/>
        <v>23.025000000000006</v>
      </c>
      <c r="G31" s="3">
        <f t="shared" si="12"/>
        <v>530.15062500000022</v>
      </c>
    </row>
    <row r="32" spans="1:7" x14ac:dyDescent="0.3">
      <c r="A32" s="21" t="s">
        <v>309</v>
      </c>
      <c r="B32" s="3">
        <v>8</v>
      </c>
      <c r="C32" s="2">
        <v>200.6</v>
      </c>
      <c r="D32" s="3"/>
      <c r="E32" s="3"/>
      <c r="F32" s="3"/>
      <c r="G32" s="12"/>
    </row>
    <row r="33" spans="1:7" x14ac:dyDescent="0.3">
      <c r="A33" s="22"/>
      <c r="B33" s="3">
        <v>9</v>
      </c>
      <c r="C33" s="2">
        <v>224.3</v>
      </c>
      <c r="D33" s="2"/>
      <c r="E33" s="2"/>
      <c r="F33" s="2"/>
      <c r="G33" s="2"/>
    </row>
    <row r="34" spans="1:7" x14ac:dyDescent="0.3">
      <c r="A34" s="22"/>
      <c r="B34" s="3">
        <v>10</v>
      </c>
      <c r="C34" s="2">
        <v>212.1</v>
      </c>
      <c r="D34" s="2"/>
      <c r="E34" s="2"/>
      <c r="F34" s="2"/>
      <c r="G34" s="2"/>
    </row>
    <row r="35" spans="1:7" x14ac:dyDescent="0.3">
      <c r="A35" s="22"/>
      <c r="B35" s="3">
        <v>11</v>
      </c>
      <c r="C35" s="2">
        <v>208.1</v>
      </c>
      <c r="D35" s="2"/>
      <c r="E35" s="2"/>
      <c r="F35" s="2"/>
      <c r="G35" s="2"/>
    </row>
    <row r="36" spans="1:7" x14ac:dyDescent="0.3">
      <c r="A36" s="22"/>
      <c r="B36" s="3">
        <v>12</v>
      </c>
      <c r="C36" s="2">
        <v>208.3</v>
      </c>
      <c r="D36" s="3">
        <f>AVERAGE(C32:C35)</f>
        <v>211.27500000000001</v>
      </c>
      <c r="E36" s="3">
        <f>C36-D36</f>
        <v>-2.9749999999999943</v>
      </c>
      <c r="F36" s="3">
        <f>ABS(E36)</f>
        <v>2.9749999999999943</v>
      </c>
      <c r="G36" s="3">
        <f>E36^2</f>
        <v>8.8506249999999653</v>
      </c>
    </row>
    <row r="37" spans="1:7" x14ac:dyDescent="0.3">
      <c r="A37" s="22"/>
      <c r="B37" s="3">
        <v>16</v>
      </c>
      <c r="C37" s="2">
        <v>209.9</v>
      </c>
      <c r="D37" s="3">
        <f t="shared" ref="D37:D41" si="13">AVERAGE(C33:C36)</f>
        <v>213.2</v>
      </c>
      <c r="E37" s="3">
        <f t="shared" ref="E37:E41" si="14">C37-D37</f>
        <v>-3.2999999999999829</v>
      </c>
      <c r="F37" s="3">
        <f t="shared" ref="F37:F41" si="15">ABS(E37)</f>
        <v>3.2999999999999829</v>
      </c>
      <c r="G37" s="3">
        <f t="shared" ref="G37:G41" si="16">E37^2</f>
        <v>10.889999999999887</v>
      </c>
    </row>
    <row r="38" spans="1:7" x14ac:dyDescent="0.3">
      <c r="A38" s="22"/>
      <c r="B38" s="3">
        <v>20</v>
      </c>
      <c r="C38" s="2">
        <v>168.5</v>
      </c>
      <c r="D38" s="3">
        <f t="shared" si="13"/>
        <v>209.6</v>
      </c>
      <c r="E38" s="3">
        <f t="shared" si="14"/>
        <v>-41.099999999999994</v>
      </c>
      <c r="F38" s="3">
        <f t="shared" si="15"/>
        <v>41.099999999999994</v>
      </c>
      <c r="G38" s="3">
        <f t="shared" si="16"/>
        <v>1689.2099999999996</v>
      </c>
    </row>
    <row r="39" spans="1:7" x14ac:dyDescent="0.3">
      <c r="A39" s="22"/>
      <c r="B39" s="3">
        <v>0</v>
      </c>
      <c r="C39" s="2">
        <v>200.9</v>
      </c>
      <c r="D39" s="3">
        <f t="shared" si="13"/>
        <v>198.7</v>
      </c>
      <c r="E39" s="3">
        <f t="shared" si="14"/>
        <v>2.2000000000000171</v>
      </c>
      <c r="F39" s="3">
        <f t="shared" si="15"/>
        <v>2.2000000000000171</v>
      </c>
      <c r="G39" s="3">
        <f t="shared" si="16"/>
        <v>4.8400000000000754</v>
      </c>
    </row>
    <row r="40" spans="1:7" x14ac:dyDescent="0.3">
      <c r="A40" s="22"/>
      <c r="B40" s="3" t="s">
        <v>312</v>
      </c>
      <c r="C40" s="6">
        <v>159.4</v>
      </c>
      <c r="D40" s="3">
        <f t="shared" si="13"/>
        <v>196.9</v>
      </c>
      <c r="E40" s="3">
        <f t="shared" si="14"/>
        <v>-37.5</v>
      </c>
      <c r="F40" s="3">
        <f t="shared" si="15"/>
        <v>37.5</v>
      </c>
      <c r="G40" s="3">
        <f t="shared" si="16"/>
        <v>1406.25</v>
      </c>
    </row>
    <row r="41" spans="1:7" x14ac:dyDescent="0.3">
      <c r="A41" s="23"/>
      <c r="B41" s="3" t="s">
        <v>313</v>
      </c>
      <c r="C41" s="6">
        <v>192.7</v>
      </c>
      <c r="D41" s="3">
        <f t="shared" si="13"/>
        <v>184.67499999999998</v>
      </c>
      <c r="E41" s="3">
        <f t="shared" si="14"/>
        <v>8.0250000000000057</v>
      </c>
      <c r="F41" s="3">
        <f t="shared" si="15"/>
        <v>8.0250000000000057</v>
      </c>
      <c r="G41" s="3">
        <f t="shared" si="16"/>
        <v>64.40062500000009</v>
      </c>
    </row>
    <row r="42" spans="1:7" x14ac:dyDescent="0.3">
      <c r="A42" s="21" t="s">
        <v>310</v>
      </c>
      <c r="B42" s="3">
        <v>8</v>
      </c>
      <c r="C42" s="2">
        <v>231</v>
      </c>
      <c r="D42" s="3"/>
      <c r="E42" s="3"/>
      <c r="F42" s="3"/>
      <c r="G42" s="12"/>
    </row>
    <row r="43" spans="1:7" x14ac:dyDescent="0.3">
      <c r="A43" s="22"/>
      <c r="B43" s="3">
        <v>9</v>
      </c>
      <c r="C43" s="2">
        <v>244.4</v>
      </c>
      <c r="E43" s="2"/>
      <c r="F43" s="2"/>
      <c r="G43" s="2"/>
    </row>
    <row r="44" spans="1:7" x14ac:dyDescent="0.3">
      <c r="A44" s="22"/>
      <c r="B44" s="3">
        <v>10</v>
      </c>
      <c r="C44" s="2">
        <v>223.3</v>
      </c>
      <c r="D44" s="2"/>
      <c r="E44" s="2"/>
      <c r="F44" s="2"/>
      <c r="G44" s="2"/>
    </row>
    <row r="45" spans="1:7" x14ac:dyDescent="0.3">
      <c r="A45" s="22"/>
      <c r="B45" s="3">
        <v>11</v>
      </c>
      <c r="C45" s="2">
        <v>218.4</v>
      </c>
      <c r="D45" s="2"/>
      <c r="E45" s="2"/>
      <c r="F45" s="2"/>
      <c r="G45" s="2"/>
    </row>
    <row r="46" spans="1:7" x14ac:dyDescent="0.3">
      <c r="A46" s="22"/>
      <c r="B46" s="3">
        <v>12</v>
      </c>
      <c r="C46" s="2">
        <v>215</v>
      </c>
      <c r="D46" s="3">
        <f>AVERAGE(C42:C45)</f>
        <v>229.27500000000001</v>
      </c>
      <c r="E46" s="3">
        <f>C46-D46</f>
        <v>-14.275000000000006</v>
      </c>
      <c r="F46" s="3">
        <f>ABS(E46)</f>
        <v>14.275000000000006</v>
      </c>
      <c r="G46" s="3">
        <f>E46^2</f>
        <v>203.77562500000016</v>
      </c>
    </row>
    <row r="47" spans="1:7" x14ac:dyDescent="0.3">
      <c r="A47" s="22"/>
      <c r="B47" s="3">
        <v>16</v>
      </c>
      <c r="C47" s="2">
        <v>203.2</v>
      </c>
      <c r="D47" s="3">
        <f t="shared" ref="D47:D51" si="17">AVERAGE(C43:C46)</f>
        <v>225.27500000000001</v>
      </c>
      <c r="E47" s="3">
        <f t="shared" ref="E47:E51" si="18">C47-D47</f>
        <v>-22.075000000000017</v>
      </c>
      <c r="F47" s="3">
        <f t="shared" ref="F47:F51" si="19">ABS(E47)</f>
        <v>22.075000000000017</v>
      </c>
      <c r="G47" s="3">
        <f t="shared" ref="G47:G51" si="20">E47^2</f>
        <v>487.30562500000076</v>
      </c>
    </row>
    <row r="48" spans="1:7" x14ac:dyDescent="0.3">
      <c r="A48" s="22"/>
      <c r="B48" s="3">
        <v>20</v>
      </c>
      <c r="C48" s="2">
        <v>203.9</v>
      </c>
      <c r="D48" s="3">
        <f t="shared" si="17"/>
        <v>214.97500000000002</v>
      </c>
      <c r="E48" s="3">
        <f t="shared" si="18"/>
        <v>-11.075000000000017</v>
      </c>
      <c r="F48" s="3">
        <f t="shared" si="19"/>
        <v>11.075000000000017</v>
      </c>
      <c r="G48" s="3">
        <f t="shared" si="20"/>
        <v>122.65562500000038</v>
      </c>
    </row>
    <row r="49" spans="1:7" x14ac:dyDescent="0.3">
      <c r="A49" s="22"/>
      <c r="B49" s="3">
        <v>0</v>
      </c>
      <c r="C49" s="2">
        <v>189.7</v>
      </c>
      <c r="D49" s="3">
        <f t="shared" si="17"/>
        <v>210.12499999999997</v>
      </c>
      <c r="E49" s="3">
        <f t="shared" si="18"/>
        <v>-20.424999999999983</v>
      </c>
      <c r="F49" s="3">
        <f t="shared" si="19"/>
        <v>20.424999999999983</v>
      </c>
      <c r="G49" s="3">
        <f t="shared" si="20"/>
        <v>417.18062499999928</v>
      </c>
    </row>
    <row r="50" spans="1:7" x14ac:dyDescent="0.3">
      <c r="A50" s="22"/>
      <c r="B50" s="3" t="s">
        <v>312</v>
      </c>
      <c r="C50" s="6">
        <v>192.6</v>
      </c>
      <c r="D50" s="3">
        <f t="shared" si="17"/>
        <v>202.95</v>
      </c>
      <c r="E50" s="3">
        <f t="shared" si="18"/>
        <v>-10.349999999999994</v>
      </c>
      <c r="F50" s="3">
        <f t="shared" si="19"/>
        <v>10.349999999999994</v>
      </c>
      <c r="G50" s="3">
        <f t="shared" si="20"/>
        <v>107.12249999999989</v>
      </c>
    </row>
    <row r="51" spans="1:7" x14ac:dyDescent="0.3">
      <c r="A51" s="23"/>
      <c r="B51" s="3" t="s">
        <v>313</v>
      </c>
      <c r="C51" s="6">
        <v>203.8</v>
      </c>
      <c r="D51" s="3">
        <f t="shared" si="17"/>
        <v>197.35</v>
      </c>
      <c r="E51" s="3">
        <f t="shared" si="18"/>
        <v>6.4500000000000171</v>
      </c>
      <c r="F51" s="3">
        <f t="shared" si="19"/>
        <v>6.4500000000000171</v>
      </c>
      <c r="G51" s="3">
        <f t="shared" si="20"/>
        <v>41.602500000000219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1264-D68A-4C32-99B8-58A061A3E78E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13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303</v>
      </c>
      <c r="D1" s="10" t="s">
        <v>324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2">
        <v>0.34799999999999998</v>
      </c>
      <c r="D2" s="3"/>
      <c r="E2" s="3"/>
      <c r="F2" s="3"/>
      <c r="G2" s="12"/>
    </row>
    <row r="3" spans="1:15" x14ac:dyDescent="0.3">
      <c r="A3" s="22"/>
      <c r="B3" s="3">
        <v>9</v>
      </c>
      <c r="C3" s="5">
        <v>2.2000000000000002</v>
      </c>
      <c r="D3" s="3"/>
      <c r="E3" s="3"/>
      <c r="F3" s="3"/>
      <c r="G3" s="12"/>
    </row>
    <row r="4" spans="1:15" x14ac:dyDescent="0.3">
      <c r="A4" s="22"/>
      <c r="B4" s="3">
        <v>10</v>
      </c>
      <c r="C4" s="2">
        <v>1.59</v>
      </c>
      <c r="D4" s="3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5">
        <v>4.13</v>
      </c>
      <c r="D5" s="3"/>
      <c r="E5" s="3"/>
      <c r="F5" s="3"/>
      <c r="G5" s="12"/>
      <c r="J5" s="2" t="s">
        <v>297</v>
      </c>
      <c r="K5" s="3">
        <f>AVERAGE(E6:E11)</f>
        <v>-0.13020833333333334</v>
      </c>
      <c r="L5" s="3">
        <f>AVERAGE(F6:F11)</f>
        <v>1.6247083333333334</v>
      </c>
      <c r="M5" s="3">
        <f>AVERAGE(G6:G11)</f>
        <v>3.1881337812500004</v>
      </c>
      <c r="N5" s="3">
        <f>SQRT(M5)</f>
        <v>1.7855345925660473</v>
      </c>
      <c r="O5" s="3">
        <f>N5/AVERAGE(C6:C11)*100</f>
        <v>125.57973924975133</v>
      </c>
    </row>
    <row r="6" spans="1:15" x14ac:dyDescent="0.3">
      <c r="A6" s="22"/>
      <c r="B6" s="3">
        <v>12</v>
      </c>
      <c r="C6" s="2">
        <v>0.98599999999999999</v>
      </c>
      <c r="D6" s="3">
        <f>AVERAGE(C2:C5)</f>
        <v>2.0670000000000002</v>
      </c>
      <c r="E6" s="3">
        <f>C6-D6</f>
        <v>-1.0810000000000002</v>
      </c>
      <c r="F6" s="3">
        <f>ABS(E6)</f>
        <v>1.0810000000000002</v>
      </c>
      <c r="G6" s="3">
        <f>E6^2</f>
        <v>1.1685610000000004</v>
      </c>
      <c r="J6" s="2">
        <v>33</v>
      </c>
      <c r="K6" s="3">
        <f>AVERAGE(E16:E21)</f>
        <v>1.8036666666666665</v>
      </c>
      <c r="L6" s="3">
        <f>AVERAGE(F16:F21)</f>
        <v>2.7294166666666668</v>
      </c>
      <c r="M6" s="3">
        <f>AVERAGE(G16:G21)</f>
        <v>17.076423083333335</v>
      </c>
      <c r="N6" s="3">
        <f t="shared" ref="N6:N9" si="0">SQRT(M6)</f>
        <v>4.1323628934706758</v>
      </c>
      <c r="O6" s="3">
        <f>N6/AVERAGE(C16:C21)*100</f>
        <v>55.781181490751322</v>
      </c>
    </row>
    <row r="7" spans="1:15" x14ac:dyDescent="0.3">
      <c r="A7" s="22"/>
      <c r="B7" s="3">
        <v>16</v>
      </c>
      <c r="C7" s="13">
        <v>0</v>
      </c>
      <c r="D7" s="3">
        <f t="shared" ref="D7:D11" si="1">AVERAGE(C3:C6)</f>
        <v>2.2265000000000001</v>
      </c>
      <c r="E7" s="3">
        <f t="shared" ref="E7:E11" si="2">C7-D7</f>
        <v>-2.2265000000000001</v>
      </c>
      <c r="F7" s="3">
        <f t="shared" ref="F7:F11" si="3">ABS(E7)</f>
        <v>2.2265000000000001</v>
      </c>
      <c r="G7" s="3">
        <f t="shared" ref="G7:G11" si="4">E7^2</f>
        <v>4.9573022500000006</v>
      </c>
      <c r="J7" s="2">
        <v>46</v>
      </c>
      <c r="K7" s="3">
        <f>AVERAGE(E26:E31)</f>
        <v>0.59920833333333368</v>
      </c>
      <c r="L7" s="3">
        <f>AVERAGE(F26:F31)</f>
        <v>2.1602083333333333</v>
      </c>
      <c r="M7" s="3">
        <f>AVERAGE(G26:G31)</f>
        <v>8.5242945312500016</v>
      </c>
      <c r="N7" s="3">
        <f t="shared" si="0"/>
        <v>2.9196394522697493</v>
      </c>
      <c r="O7" s="3">
        <f>N7/AVERAGE(C26:C31)*100</f>
        <v>38.50074002993076</v>
      </c>
    </row>
    <row r="8" spans="1:15" x14ac:dyDescent="0.3">
      <c r="A8" s="22"/>
      <c r="B8" s="3">
        <v>20</v>
      </c>
      <c r="C8" s="2">
        <v>0.17699999999999999</v>
      </c>
      <c r="D8" s="3">
        <f t="shared" si="1"/>
        <v>1.6764999999999999</v>
      </c>
      <c r="E8" s="3">
        <f t="shared" si="2"/>
        <v>-1.4994999999999998</v>
      </c>
      <c r="F8" s="3">
        <f t="shared" si="3"/>
        <v>1.4994999999999998</v>
      </c>
      <c r="G8" s="3">
        <f t="shared" si="4"/>
        <v>2.2485002499999993</v>
      </c>
      <c r="J8" s="2" t="s">
        <v>309</v>
      </c>
      <c r="K8" s="3">
        <f>AVERAGE(E36:E41)</f>
        <v>0.94658333333333322</v>
      </c>
      <c r="L8" s="3">
        <f>AVERAGE(F36:F41)</f>
        <v>2.5511666666666666</v>
      </c>
      <c r="M8" s="3">
        <f>AVERAGE(G36:G41)</f>
        <v>9.8446111458333387</v>
      </c>
      <c r="N8" s="3">
        <f t="shared" si="0"/>
        <v>3.1376123319864324</v>
      </c>
      <c r="O8" s="3">
        <f>N8/AVERAGE(C36:C41)*100</f>
        <v>33.380038284901225</v>
      </c>
    </row>
    <row r="9" spans="1:15" x14ac:dyDescent="0.3">
      <c r="A9" s="22"/>
      <c r="B9" s="3">
        <v>0</v>
      </c>
      <c r="C9" s="2">
        <v>3.0680000000000001</v>
      </c>
      <c r="D9" s="3">
        <f t="shared" si="1"/>
        <v>1.3232499999999998</v>
      </c>
      <c r="E9" s="3">
        <f t="shared" si="2"/>
        <v>1.7447500000000002</v>
      </c>
      <c r="F9" s="3">
        <f t="shared" si="3"/>
        <v>1.7447500000000002</v>
      </c>
      <c r="G9" s="3">
        <f t="shared" si="4"/>
        <v>3.0441525625000008</v>
      </c>
      <c r="J9" s="2" t="s">
        <v>310</v>
      </c>
      <c r="K9" s="3">
        <f>AVERAGE(E46:E51)</f>
        <v>1.821833333333333</v>
      </c>
      <c r="L9" s="3">
        <f>AVERAGE(F46:F51)</f>
        <v>3.1758333333333333</v>
      </c>
      <c r="M9" s="3">
        <f>AVERAGE(G46:G51)</f>
        <v>20.548852437500003</v>
      </c>
      <c r="N9" s="3">
        <f t="shared" si="0"/>
        <v>4.5330842080751159</v>
      </c>
      <c r="O9" s="3">
        <f>N9/AVERAGE(C46:C51)*100</f>
        <v>56.367622582381451</v>
      </c>
    </row>
    <row r="10" spans="1:15" x14ac:dyDescent="0.3">
      <c r="A10" s="22"/>
      <c r="B10" s="3" t="s">
        <v>312</v>
      </c>
      <c r="C10" s="7">
        <v>0.6</v>
      </c>
      <c r="D10" s="3">
        <f t="shared" si="1"/>
        <v>1.05775</v>
      </c>
      <c r="E10" s="3">
        <f t="shared" si="2"/>
        <v>-0.45774999999999999</v>
      </c>
      <c r="F10" s="3">
        <f t="shared" si="3"/>
        <v>0.45774999999999999</v>
      </c>
      <c r="G10" s="3">
        <f t="shared" si="4"/>
        <v>0.20953506249999998</v>
      </c>
    </row>
    <row r="11" spans="1:15" x14ac:dyDescent="0.3">
      <c r="A11" s="23"/>
      <c r="B11" s="3" t="s">
        <v>313</v>
      </c>
      <c r="C11" s="7">
        <v>3.7</v>
      </c>
      <c r="D11" s="3">
        <f t="shared" si="1"/>
        <v>0.96125000000000005</v>
      </c>
      <c r="E11" s="3">
        <f t="shared" si="2"/>
        <v>2.73875</v>
      </c>
      <c r="F11" s="3">
        <f t="shared" si="3"/>
        <v>2.73875</v>
      </c>
      <c r="G11" s="3">
        <f t="shared" si="4"/>
        <v>7.5007515625000005</v>
      </c>
    </row>
    <row r="12" spans="1:15" x14ac:dyDescent="0.3">
      <c r="A12" s="21">
        <v>33</v>
      </c>
      <c r="B12" s="9">
        <v>8</v>
      </c>
      <c r="C12" s="2">
        <v>5.5010000000000003</v>
      </c>
      <c r="D12" s="3"/>
      <c r="E12" s="3"/>
      <c r="F12" s="3"/>
      <c r="G12" s="12"/>
    </row>
    <row r="13" spans="1:15" x14ac:dyDescent="0.3">
      <c r="A13" s="22"/>
      <c r="B13" s="3">
        <v>9</v>
      </c>
      <c r="C13" s="2">
        <v>5.5190000000000001</v>
      </c>
      <c r="D13" s="3"/>
      <c r="E13" s="2"/>
      <c r="F13" s="2"/>
      <c r="G13" s="2"/>
      <c r="K13" s="4"/>
      <c r="L13" s="4"/>
      <c r="M13" s="4"/>
      <c r="N13" s="4"/>
    </row>
    <row r="14" spans="1:15" x14ac:dyDescent="0.3">
      <c r="A14" s="22"/>
      <c r="B14" s="3">
        <v>10</v>
      </c>
      <c r="C14" s="2">
        <v>6.54</v>
      </c>
      <c r="D14" s="3"/>
      <c r="E14" s="2"/>
      <c r="F14" s="2"/>
      <c r="G14" s="2"/>
      <c r="K14" s="4"/>
      <c r="L14" s="4"/>
      <c r="M14" s="4"/>
      <c r="N14" s="4"/>
    </row>
    <row r="15" spans="1:15" x14ac:dyDescent="0.3">
      <c r="A15" s="22"/>
      <c r="B15" s="3">
        <v>11</v>
      </c>
      <c r="C15" s="2">
        <v>5.5990000000000002</v>
      </c>
      <c r="D15" s="3"/>
      <c r="E15" s="2"/>
      <c r="F15" s="2"/>
      <c r="G15" s="2"/>
      <c r="K15" s="4"/>
      <c r="L15" s="4"/>
      <c r="M15" s="4"/>
      <c r="N15" s="4"/>
    </row>
    <row r="16" spans="1:15" x14ac:dyDescent="0.3">
      <c r="A16" s="22"/>
      <c r="B16" s="3">
        <v>12</v>
      </c>
      <c r="C16" s="2">
        <v>4.4139999999999997</v>
      </c>
      <c r="D16" s="3">
        <f>AVERAGE(C12:C15)</f>
        <v>5.7897499999999997</v>
      </c>
      <c r="E16" s="3">
        <f>C16-D16</f>
        <v>-1.37575</v>
      </c>
      <c r="F16" s="3">
        <f>ABS(E16)</f>
        <v>1.37575</v>
      </c>
      <c r="G16" s="3">
        <f>E16^2</f>
        <v>1.8926880625</v>
      </c>
      <c r="K16" s="4"/>
      <c r="L16" s="4"/>
      <c r="M16" s="4"/>
      <c r="N16" s="4"/>
    </row>
    <row r="17" spans="1:14" x14ac:dyDescent="0.3">
      <c r="A17" s="22"/>
      <c r="B17" s="3">
        <v>16</v>
      </c>
      <c r="C17" s="2">
        <v>6.569</v>
      </c>
      <c r="D17" s="3">
        <f t="shared" ref="D17:D21" si="5">AVERAGE(C13:C16)</f>
        <v>5.5180000000000007</v>
      </c>
      <c r="E17" s="3">
        <f t="shared" ref="E17:E21" si="6">C17-D17</f>
        <v>1.0509999999999993</v>
      </c>
      <c r="F17" s="3">
        <f t="shared" ref="F17:F21" si="7">ABS(E17)</f>
        <v>1.0509999999999993</v>
      </c>
      <c r="G17" s="3">
        <f t="shared" ref="G17:G21" si="8">E17^2</f>
        <v>1.1046009999999984</v>
      </c>
      <c r="K17" s="4"/>
      <c r="L17" s="4"/>
      <c r="M17" s="4"/>
      <c r="N17" s="4"/>
    </row>
    <row r="18" spans="1:14" x14ac:dyDescent="0.3">
      <c r="A18" s="22"/>
      <c r="B18" s="3">
        <v>20</v>
      </c>
      <c r="C18" s="2">
        <v>4.3789999999999996</v>
      </c>
      <c r="D18" s="3">
        <f t="shared" si="5"/>
        <v>5.7804999999999991</v>
      </c>
      <c r="E18" s="3">
        <f t="shared" si="6"/>
        <v>-1.4014999999999995</v>
      </c>
      <c r="F18" s="3">
        <f t="shared" si="7"/>
        <v>1.4014999999999995</v>
      </c>
      <c r="G18" s="3">
        <f t="shared" si="8"/>
        <v>1.9642022499999987</v>
      </c>
    </row>
    <row r="19" spans="1:14" x14ac:dyDescent="0.3">
      <c r="A19" s="22"/>
      <c r="B19" s="3">
        <v>0</v>
      </c>
      <c r="C19" s="2">
        <v>5.2969999999999997</v>
      </c>
      <c r="D19" s="3">
        <f t="shared" si="5"/>
        <v>5.2402499999999996</v>
      </c>
      <c r="E19" s="3">
        <f t="shared" si="6"/>
        <v>5.6750000000000078E-2</v>
      </c>
      <c r="F19" s="3">
        <f t="shared" si="7"/>
        <v>5.6750000000000078E-2</v>
      </c>
      <c r="G19" s="3">
        <f t="shared" si="8"/>
        <v>3.220562500000009E-3</v>
      </c>
    </row>
    <row r="20" spans="1:14" x14ac:dyDescent="0.3">
      <c r="A20" s="22"/>
      <c r="B20" s="3" t="s">
        <v>312</v>
      </c>
      <c r="C20" s="7">
        <v>8.2899999999999991</v>
      </c>
      <c r="D20" s="3">
        <f t="shared" si="5"/>
        <v>5.1647499999999997</v>
      </c>
      <c r="E20" s="3">
        <f t="shared" si="6"/>
        <v>3.1252499999999994</v>
      </c>
      <c r="F20" s="3">
        <f t="shared" si="7"/>
        <v>3.1252499999999994</v>
      </c>
      <c r="G20" s="3">
        <f t="shared" si="8"/>
        <v>9.7671875624999966</v>
      </c>
    </row>
    <row r="21" spans="1:14" x14ac:dyDescent="0.3">
      <c r="A21" s="23"/>
      <c r="B21" s="3" t="s">
        <v>313</v>
      </c>
      <c r="C21" s="7">
        <v>15.5</v>
      </c>
      <c r="D21" s="3">
        <f t="shared" si="5"/>
        <v>6.13375</v>
      </c>
      <c r="E21" s="3">
        <f t="shared" si="6"/>
        <v>9.3662500000000009</v>
      </c>
      <c r="F21" s="3">
        <f t="shared" si="7"/>
        <v>9.3662500000000009</v>
      </c>
      <c r="G21" s="3">
        <f t="shared" si="8"/>
        <v>87.726639062500013</v>
      </c>
    </row>
    <row r="22" spans="1:14" x14ac:dyDescent="0.3">
      <c r="A22" s="21">
        <v>46</v>
      </c>
      <c r="B22" s="9">
        <v>8</v>
      </c>
      <c r="C22" s="2">
        <v>7.5839999999999996</v>
      </c>
      <c r="D22" s="3"/>
      <c r="E22" s="3"/>
      <c r="F22" s="3"/>
      <c r="G22" s="12"/>
    </row>
    <row r="23" spans="1:14" x14ac:dyDescent="0.3">
      <c r="A23" s="22"/>
      <c r="B23" s="3">
        <v>9</v>
      </c>
      <c r="C23" s="2">
        <v>6.5640000000000001</v>
      </c>
      <c r="D23" s="3"/>
      <c r="E23" s="2"/>
      <c r="F23" s="2"/>
      <c r="G23" s="2"/>
    </row>
    <row r="24" spans="1:14" x14ac:dyDescent="0.3">
      <c r="A24" s="22"/>
      <c r="B24" s="3">
        <v>10</v>
      </c>
      <c r="C24" s="2">
        <v>5.5910000000000002</v>
      </c>
      <c r="D24" s="2"/>
      <c r="E24" s="2"/>
      <c r="F24" s="2"/>
      <c r="G24" s="2"/>
    </row>
    <row r="25" spans="1:14" x14ac:dyDescent="0.3">
      <c r="A25" s="22"/>
      <c r="B25" s="3">
        <v>11</v>
      </c>
      <c r="C25" s="2">
        <v>9.69</v>
      </c>
      <c r="D25" s="2"/>
      <c r="E25" s="2"/>
      <c r="F25" s="2"/>
      <c r="G25" s="2"/>
    </row>
    <row r="26" spans="1:14" x14ac:dyDescent="0.3">
      <c r="A26" s="22"/>
      <c r="B26" s="3">
        <v>12</v>
      </c>
      <c r="C26" s="2">
        <v>7.63</v>
      </c>
      <c r="D26" s="3">
        <f>AVERAGE(C22:C25)</f>
        <v>7.3572500000000005</v>
      </c>
      <c r="E26" s="3">
        <f>C26-D26</f>
        <v>0.27274999999999938</v>
      </c>
      <c r="F26" s="3">
        <f>ABS(E26)</f>
        <v>0.27274999999999938</v>
      </c>
      <c r="G26" s="3">
        <f>E26^2</f>
        <v>7.4392562499999662E-2</v>
      </c>
    </row>
    <row r="27" spans="1:14" x14ac:dyDescent="0.3">
      <c r="A27" s="22"/>
      <c r="B27" s="3">
        <v>16</v>
      </c>
      <c r="C27" s="2">
        <v>6.66</v>
      </c>
      <c r="D27" s="3">
        <f t="shared" ref="D27:D31" si="9">AVERAGE(C23:C26)</f>
        <v>7.3687499999999995</v>
      </c>
      <c r="E27" s="3">
        <f t="shared" ref="E27:E31" si="10">C27-D27</f>
        <v>-0.70874999999999932</v>
      </c>
      <c r="F27" s="3">
        <f t="shared" ref="F27:F31" si="11">ABS(E27)</f>
        <v>0.70874999999999932</v>
      </c>
      <c r="G27" s="3">
        <f t="shared" ref="G27:G31" si="12">E27^2</f>
        <v>0.50232656249999907</v>
      </c>
    </row>
    <row r="28" spans="1:14" x14ac:dyDescent="0.3">
      <c r="A28" s="22"/>
      <c r="B28" s="3">
        <v>20</v>
      </c>
      <c r="C28" s="2">
        <v>4.9379999999999997</v>
      </c>
      <c r="D28" s="3">
        <f t="shared" si="9"/>
        <v>7.3927499999999995</v>
      </c>
      <c r="E28" s="3">
        <f t="shared" si="10"/>
        <v>-2.4547499999999998</v>
      </c>
      <c r="F28" s="3">
        <f t="shared" si="11"/>
        <v>2.4547499999999998</v>
      </c>
      <c r="G28" s="3">
        <f t="shared" si="12"/>
        <v>6.0257975624999984</v>
      </c>
    </row>
    <row r="29" spans="1:14" x14ac:dyDescent="0.3">
      <c r="A29" s="22"/>
      <c r="B29" s="3">
        <v>0</v>
      </c>
      <c r="C29" s="2">
        <v>5.71</v>
      </c>
      <c r="D29" s="3">
        <f t="shared" si="9"/>
        <v>7.2294999999999998</v>
      </c>
      <c r="E29" s="3">
        <f t="shared" si="10"/>
        <v>-1.5194999999999999</v>
      </c>
      <c r="F29" s="3">
        <f t="shared" si="11"/>
        <v>1.5194999999999999</v>
      </c>
      <c r="G29" s="3">
        <f t="shared" si="12"/>
        <v>2.3088802499999996</v>
      </c>
    </row>
    <row r="30" spans="1:14" x14ac:dyDescent="0.3">
      <c r="A30" s="22"/>
      <c r="B30" s="3" t="s">
        <v>312</v>
      </c>
      <c r="C30" s="7">
        <v>7.98</v>
      </c>
      <c r="D30" s="3">
        <f t="shared" si="9"/>
        <v>6.2344999999999997</v>
      </c>
      <c r="E30" s="3">
        <f t="shared" si="10"/>
        <v>1.7455000000000007</v>
      </c>
      <c r="F30" s="3">
        <f t="shared" si="11"/>
        <v>1.7455000000000007</v>
      </c>
      <c r="G30" s="3">
        <f t="shared" si="12"/>
        <v>3.0467702500000025</v>
      </c>
    </row>
    <row r="31" spans="1:14" x14ac:dyDescent="0.3">
      <c r="A31" s="23"/>
      <c r="B31" s="3" t="s">
        <v>313</v>
      </c>
      <c r="C31" s="7">
        <v>12.582000000000001</v>
      </c>
      <c r="D31" s="3">
        <f t="shared" si="9"/>
        <v>6.3220000000000001</v>
      </c>
      <c r="E31" s="3">
        <f t="shared" si="10"/>
        <v>6.2600000000000007</v>
      </c>
      <c r="F31" s="3">
        <f t="shared" si="11"/>
        <v>6.2600000000000007</v>
      </c>
      <c r="G31" s="3">
        <f t="shared" si="12"/>
        <v>39.18760000000001</v>
      </c>
    </row>
    <row r="32" spans="1:14" x14ac:dyDescent="0.3">
      <c r="A32" s="21" t="s">
        <v>309</v>
      </c>
      <c r="B32" s="3">
        <v>8</v>
      </c>
      <c r="C32" s="2">
        <v>11.385</v>
      </c>
      <c r="D32" s="3"/>
      <c r="E32" s="3"/>
      <c r="F32" s="3"/>
      <c r="G32" s="12"/>
    </row>
    <row r="33" spans="1:7" x14ac:dyDescent="0.3">
      <c r="A33" s="22"/>
      <c r="B33" s="3">
        <v>9</v>
      </c>
      <c r="C33" s="2">
        <v>8.51</v>
      </c>
      <c r="D33" s="2"/>
      <c r="E33" s="2"/>
      <c r="F33" s="2"/>
      <c r="G33" s="2"/>
    </row>
    <row r="34" spans="1:7" x14ac:dyDescent="0.3">
      <c r="A34" s="22"/>
      <c r="B34" s="3">
        <v>10</v>
      </c>
      <c r="C34" s="2">
        <v>8.8699999999999992</v>
      </c>
      <c r="D34" s="2"/>
      <c r="E34" s="2"/>
      <c r="F34" s="2"/>
      <c r="G34" s="2"/>
    </row>
    <row r="35" spans="1:7" x14ac:dyDescent="0.3">
      <c r="A35" s="22"/>
      <c r="B35" s="3">
        <v>11</v>
      </c>
      <c r="C35" s="2">
        <v>8.3360000000000003</v>
      </c>
      <c r="D35" s="2"/>
      <c r="E35" s="2"/>
      <c r="F35" s="2"/>
      <c r="G35" s="2"/>
    </row>
    <row r="36" spans="1:7" x14ac:dyDescent="0.3">
      <c r="A36" s="22"/>
      <c r="B36" s="3">
        <v>12</v>
      </c>
      <c r="C36" s="2">
        <v>7.6420000000000003</v>
      </c>
      <c r="D36" s="3">
        <f>AVERAGE(C32:C35)</f>
        <v>9.2752499999999998</v>
      </c>
      <c r="E36" s="3">
        <f>C36-D36</f>
        <v>-1.6332499999999994</v>
      </c>
      <c r="F36" s="3">
        <f>ABS(E36)</f>
        <v>1.6332499999999994</v>
      </c>
      <c r="G36" s="3">
        <f>E36^2</f>
        <v>2.6675055624999979</v>
      </c>
    </row>
    <row r="37" spans="1:7" x14ac:dyDescent="0.3">
      <c r="A37" s="22"/>
      <c r="B37" s="3">
        <v>16</v>
      </c>
      <c r="C37" s="2">
        <v>5.1589999999999998</v>
      </c>
      <c r="D37" s="3">
        <f t="shared" ref="D37:D41" si="13">AVERAGE(C33:C36)</f>
        <v>8.339500000000001</v>
      </c>
      <c r="E37" s="3">
        <f t="shared" ref="E37:E41" si="14">C37-D37</f>
        <v>-3.1805000000000012</v>
      </c>
      <c r="F37" s="3">
        <f t="shared" ref="F37:F41" si="15">ABS(E37)</f>
        <v>3.1805000000000012</v>
      </c>
      <c r="G37" s="3">
        <f t="shared" ref="G37:G41" si="16">E37^2</f>
        <v>10.115580250000008</v>
      </c>
    </row>
    <row r="38" spans="1:7" x14ac:dyDescent="0.3">
      <c r="A38" s="22"/>
      <c r="B38" s="3">
        <v>20</v>
      </c>
      <c r="C38" s="2">
        <v>12.117000000000001</v>
      </c>
      <c r="D38" s="3">
        <f t="shared" si="13"/>
        <v>7.5017499999999995</v>
      </c>
      <c r="E38" s="3">
        <f t="shared" si="14"/>
        <v>4.6152500000000014</v>
      </c>
      <c r="F38" s="3">
        <f t="shared" si="15"/>
        <v>4.6152500000000014</v>
      </c>
      <c r="G38" s="3">
        <f t="shared" si="16"/>
        <v>21.300532562500013</v>
      </c>
    </row>
    <row r="39" spans="1:7" x14ac:dyDescent="0.3">
      <c r="A39" s="22"/>
      <c r="B39" s="3">
        <v>0</v>
      </c>
      <c r="C39" s="2">
        <v>9.17</v>
      </c>
      <c r="D39" s="3">
        <f t="shared" si="13"/>
        <v>8.3135000000000012</v>
      </c>
      <c r="E39" s="3">
        <f t="shared" si="14"/>
        <v>0.85649999999999871</v>
      </c>
      <c r="F39" s="3">
        <f t="shared" si="15"/>
        <v>0.85649999999999871</v>
      </c>
      <c r="G39" s="3">
        <f t="shared" si="16"/>
        <v>0.73359224999999784</v>
      </c>
    </row>
    <row r="40" spans="1:7" x14ac:dyDescent="0.3">
      <c r="A40" s="22"/>
      <c r="B40" s="3" t="s">
        <v>312</v>
      </c>
      <c r="C40" s="7">
        <v>8.6199999999999992</v>
      </c>
      <c r="D40" s="3">
        <f t="shared" si="13"/>
        <v>8.5220000000000002</v>
      </c>
      <c r="E40" s="3">
        <f t="shared" si="14"/>
        <v>9.7999999999998977E-2</v>
      </c>
      <c r="F40" s="3">
        <f t="shared" si="15"/>
        <v>9.7999999999998977E-2</v>
      </c>
      <c r="G40" s="3">
        <f t="shared" si="16"/>
        <v>9.6039999999998002E-3</v>
      </c>
    </row>
    <row r="41" spans="1:7" x14ac:dyDescent="0.3">
      <c r="A41" s="23"/>
      <c r="B41" s="3" t="s">
        <v>313</v>
      </c>
      <c r="C41" s="7">
        <v>13.69</v>
      </c>
      <c r="D41" s="3">
        <f t="shared" si="13"/>
        <v>8.7664999999999988</v>
      </c>
      <c r="E41" s="3">
        <f t="shared" si="14"/>
        <v>4.9235000000000007</v>
      </c>
      <c r="F41" s="3">
        <f t="shared" si="15"/>
        <v>4.9235000000000007</v>
      </c>
      <c r="G41" s="3">
        <f t="shared" si="16"/>
        <v>24.240852250000007</v>
      </c>
    </row>
    <row r="42" spans="1:7" x14ac:dyDescent="0.3">
      <c r="A42" s="21" t="s">
        <v>310</v>
      </c>
      <c r="B42" s="3">
        <v>8</v>
      </c>
      <c r="C42" s="2">
        <v>4.5880000000000001</v>
      </c>
      <c r="D42" s="3"/>
      <c r="E42" s="3"/>
      <c r="F42" s="3"/>
      <c r="G42" s="12"/>
    </row>
    <row r="43" spans="1:7" x14ac:dyDescent="0.3">
      <c r="A43" s="22"/>
      <c r="B43" s="3">
        <v>9</v>
      </c>
      <c r="C43" s="2">
        <v>6.66</v>
      </c>
      <c r="E43" s="2"/>
      <c r="F43" s="2"/>
      <c r="G43" s="2"/>
    </row>
    <row r="44" spans="1:7" x14ac:dyDescent="0.3">
      <c r="A44" s="22"/>
      <c r="B44" s="3">
        <v>10</v>
      </c>
      <c r="C44" s="2">
        <v>4.3</v>
      </c>
      <c r="D44" s="2"/>
      <c r="E44" s="2"/>
      <c r="F44" s="2"/>
      <c r="G44" s="2"/>
    </row>
    <row r="45" spans="1:7" x14ac:dyDescent="0.3">
      <c r="A45" s="22"/>
      <c r="B45" s="3">
        <v>11</v>
      </c>
      <c r="C45" s="2">
        <v>4.9569999999999999</v>
      </c>
      <c r="D45" s="2"/>
      <c r="E45" s="2"/>
      <c r="F45" s="2"/>
      <c r="G45" s="2"/>
    </row>
    <row r="46" spans="1:7" x14ac:dyDescent="0.3">
      <c r="A46" s="22"/>
      <c r="B46" s="3">
        <v>12</v>
      </c>
      <c r="C46" s="2">
        <v>5.1509999999999998</v>
      </c>
      <c r="D46" s="3">
        <f>AVERAGE(C42:C45)</f>
        <v>5.1262500000000006</v>
      </c>
      <c r="E46" s="3">
        <f>C46-D46</f>
        <v>2.4749999999999162E-2</v>
      </c>
      <c r="F46" s="3">
        <f>ABS(E46)</f>
        <v>2.4749999999999162E-2</v>
      </c>
      <c r="G46" s="3">
        <f>E46^2</f>
        <v>6.1256249999995852E-4</v>
      </c>
    </row>
    <row r="47" spans="1:7" x14ac:dyDescent="0.3">
      <c r="A47" s="22"/>
      <c r="B47" s="3">
        <v>16</v>
      </c>
      <c r="C47" s="2">
        <v>4.3159999999999998</v>
      </c>
      <c r="D47" s="3">
        <f t="shared" ref="D47:D51" si="17">AVERAGE(C43:C46)</f>
        <v>5.2670000000000003</v>
      </c>
      <c r="E47" s="3">
        <f t="shared" ref="E47:E51" si="18">C47-D47</f>
        <v>-0.95100000000000051</v>
      </c>
      <c r="F47" s="3">
        <f t="shared" ref="F47:F51" si="19">ABS(E47)</f>
        <v>0.95100000000000051</v>
      </c>
      <c r="G47" s="3">
        <f t="shared" ref="G47:G51" si="20">E47^2</f>
        <v>0.90440100000000101</v>
      </c>
    </row>
    <row r="48" spans="1:7" x14ac:dyDescent="0.3">
      <c r="A48" s="22"/>
      <c r="B48" s="3">
        <v>20</v>
      </c>
      <c r="C48" s="5">
        <v>14.6</v>
      </c>
      <c r="D48" s="3">
        <f t="shared" si="17"/>
        <v>4.681</v>
      </c>
      <c r="E48" s="3">
        <f t="shared" si="18"/>
        <v>9.9190000000000005</v>
      </c>
      <c r="F48" s="3">
        <f t="shared" si="19"/>
        <v>9.9190000000000005</v>
      </c>
      <c r="G48" s="3">
        <f t="shared" si="20"/>
        <v>98.386561000000015</v>
      </c>
    </row>
    <row r="49" spans="1:7" x14ac:dyDescent="0.3">
      <c r="A49" s="22"/>
      <c r="B49" s="3">
        <v>0</v>
      </c>
      <c r="C49" s="2">
        <v>4.1449999999999996</v>
      </c>
      <c r="D49" s="3">
        <f t="shared" si="17"/>
        <v>7.2560000000000002</v>
      </c>
      <c r="E49" s="3">
        <f t="shared" si="18"/>
        <v>-3.1110000000000007</v>
      </c>
      <c r="F49" s="3">
        <f t="shared" si="19"/>
        <v>3.1110000000000007</v>
      </c>
      <c r="G49" s="3">
        <f t="shared" si="20"/>
        <v>9.6783210000000039</v>
      </c>
    </row>
    <row r="50" spans="1:7" x14ac:dyDescent="0.3">
      <c r="A50" s="22"/>
      <c r="B50" s="3" t="s">
        <v>312</v>
      </c>
      <c r="C50" s="7">
        <v>8.69</v>
      </c>
      <c r="D50" s="3">
        <f t="shared" si="17"/>
        <v>7.0529999999999999</v>
      </c>
      <c r="E50" s="3">
        <f t="shared" si="18"/>
        <v>1.6369999999999996</v>
      </c>
      <c r="F50" s="3">
        <f t="shared" si="19"/>
        <v>1.6369999999999996</v>
      </c>
      <c r="G50" s="3">
        <f t="shared" si="20"/>
        <v>2.6797689999999985</v>
      </c>
    </row>
    <row r="51" spans="1:7" x14ac:dyDescent="0.3">
      <c r="A51" s="23"/>
      <c r="B51" s="3" t="s">
        <v>313</v>
      </c>
      <c r="C51" s="7">
        <v>11.35</v>
      </c>
      <c r="D51" s="3">
        <f t="shared" si="17"/>
        <v>7.9377499999999994</v>
      </c>
      <c r="E51" s="3">
        <f t="shared" si="18"/>
        <v>3.4122500000000002</v>
      </c>
      <c r="F51" s="3">
        <f t="shared" si="19"/>
        <v>3.4122500000000002</v>
      </c>
      <c r="G51" s="3">
        <f t="shared" si="20"/>
        <v>11.643450062500001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9FF5-35F2-417D-9D20-BA6359FDA550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6640625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305</v>
      </c>
      <c r="D1" s="10" t="s">
        <v>325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2">
        <v>636</v>
      </c>
      <c r="D2" s="3"/>
      <c r="E2" s="3"/>
      <c r="F2" s="3"/>
      <c r="G2" s="12"/>
    </row>
    <row r="3" spans="1:15" x14ac:dyDescent="0.3">
      <c r="A3" s="22"/>
      <c r="B3" s="3">
        <v>9</v>
      </c>
      <c r="C3" s="2">
        <v>642.4</v>
      </c>
      <c r="D3" s="3"/>
      <c r="E3" s="3"/>
      <c r="F3" s="3"/>
      <c r="G3" s="12"/>
    </row>
    <row r="4" spans="1:15" x14ac:dyDescent="0.3">
      <c r="A4" s="22"/>
      <c r="B4" s="3">
        <v>10</v>
      </c>
      <c r="C4" s="2">
        <v>640</v>
      </c>
      <c r="D4" s="3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2">
        <v>639</v>
      </c>
      <c r="D5" s="3"/>
      <c r="E5" s="3"/>
      <c r="F5" s="3"/>
      <c r="G5" s="12"/>
      <c r="J5" s="2" t="s">
        <v>297</v>
      </c>
      <c r="K5" s="3">
        <f>AVERAGE(E6:E11)</f>
        <v>-3.1124999999999923</v>
      </c>
      <c r="L5" s="3">
        <f>AVERAGE(F6:F11)</f>
        <v>4.6375000000000073</v>
      </c>
      <c r="M5" s="3">
        <f>AVERAGE(G6:G11)</f>
        <v>58.450729166666811</v>
      </c>
      <c r="N5" s="3">
        <f>SQRT(M5)</f>
        <v>7.6453076567700542</v>
      </c>
      <c r="O5" s="3">
        <f>N5/AVERAGE(C6:C11)*100</f>
        <v>1.2003623169075055</v>
      </c>
    </row>
    <row r="6" spans="1:15" x14ac:dyDescent="0.3">
      <c r="A6" s="22"/>
      <c r="B6" s="3">
        <v>12</v>
      </c>
      <c r="C6" s="2">
        <v>642.1</v>
      </c>
      <c r="D6" s="3">
        <f>AVERAGE(C2:C5)</f>
        <v>639.35</v>
      </c>
      <c r="E6" s="3">
        <f>C6-D6</f>
        <v>2.75</v>
      </c>
      <c r="F6" s="3">
        <f>ABS(E6)</f>
        <v>2.75</v>
      </c>
      <c r="G6" s="3">
        <f>E6^2</f>
        <v>7.5625</v>
      </c>
      <c r="J6" s="2">
        <v>33</v>
      </c>
      <c r="K6" s="3">
        <f>AVERAGE(E16:E21)</f>
        <v>2.0749999999999695</v>
      </c>
      <c r="L6" s="3">
        <f>AVERAGE(F16:F21)</f>
        <v>3.933333333333318</v>
      </c>
      <c r="M6" s="3">
        <f>AVERAGE(G16:G21)</f>
        <v>33.001249999999764</v>
      </c>
      <c r="N6" s="3">
        <f t="shared" ref="N6:N9" si="0">SQRT(M6)</f>
        <v>5.7446714440427105</v>
      </c>
      <c r="O6" s="3">
        <f>N6/AVERAGE(C16:C21)*100</f>
        <v>1.2039129816366141</v>
      </c>
    </row>
    <row r="7" spans="1:15" x14ac:dyDescent="0.3">
      <c r="A7" s="22"/>
      <c r="B7" s="3">
        <v>16</v>
      </c>
      <c r="C7" s="2">
        <v>638.5</v>
      </c>
      <c r="D7" s="3">
        <f t="shared" ref="D7:D11" si="1">AVERAGE(C3:C6)</f>
        <v>640.875</v>
      </c>
      <c r="E7" s="3">
        <f t="shared" ref="E7:E11" si="2">C7-D7</f>
        <v>-2.375</v>
      </c>
      <c r="F7" s="3">
        <f t="shared" ref="F7:F11" si="3">ABS(E7)</f>
        <v>2.375</v>
      </c>
      <c r="G7" s="3">
        <f t="shared" ref="G7:G11" si="4">E7^2</f>
        <v>5.640625</v>
      </c>
      <c r="J7" s="2">
        <v>46</v>
      </c>
      <c r="K7" s="3">
        <f>AVERAGE(E26:E31)</f>
        <v>1.2375000000000018</v>
      </c>
      <c r="L7" s="3">
        <f>AVERAGE(F26:F31)</f>
        <v>4.1374999999999789</v>
      </c>
      <c r="M7" s="3">
        <f>AVERAGE(G26:G31)</f>
        <v>27.016770833333126</v>
      </c>
      <c r="N7" s="3">
        <f t="shared" si="0"/>
        <v>5.1977659463786097</v>
      </c>
      <c r="O7" s="3">
        <f>N7/AVERAGE(C26:C31)*100</f>
        <v>1.0968450630700823</v>
      </c>
    </row>
    <row r="8" spans="1:15" x14ac:dyDescent="0.3">
      <c r="A8" s="22"/>
      <c r="B8" s="3">
        <v>20</v>
      </c>
      <c r="C8" s="2">
        <v>640.29999999999995</v>
      </c>
      <c r="D8" s="3">
        <f t="shared" si="1"/>
        <v>639.9</v>
      </c>
      <c r="E8" s="3">
        <f t="shared" si="2"/>
        <v>0.39999999999997726</v>
      </c>
      <c r="F8" s="3">
        <f t="shared" si="3"/>
        <v>0.39999999999997726</v>
      </c>
      <c r="G8" s="3">
        <f t="shared" si="4"/>
        <v>0.15999999999998182</v>
      </c>
      <c r="J8" s="2" t="s">
        <v>309</v>
      </c>
      <c r="K8" s="3">
        <f>AVERAGE(E36:E41)</f>
        <v>0.86249999999998295</v>
      </c>
      <c r="L8" s="3">
        <f>AVERAGE(F36:F41)</f>
        <v>4.2541666666666726</v>
      </c>
      <c r="M8" s="3">
        <f>AVERAGE(G36:G41)</f>
        <v>21.951979166666717</v>
      </c>
      <c r="N8" s="3">
        <f t="shared" si="0"/>
        <v>4.6852939253227985</v>
      </c>
      <c r="O8" s="3">
        <f>N8/AVERAGE(C36:C41)*100</f>
        <v>0.98894545669235179</v>
      </c>
    </row>
    <row r="9" spans="1:15" x14ac:dyDescent="0.3">
      <c r="A9" s="22"/>
      <c r="B9" s="3">
        <v>0</v>
      </c>
      <c r="C9" s="2">
        <v>641.4</v>
      </c>
      <c r="D9" s="3">
        <f t="shared" si="1"/>
        <v>639.97499999999991</v>
      </c>
      <c r="E9" s="3">
        <f t="shared" si="2"/>
        <v>1.4250000000000682</v>
      </c>
      <c r="F9" s="3">
        <f t="shared" si="3"/>
        <v>1.4250000000000682</v>
      </c>
      <c r="G9" s="3">
        <f t="shared" si="4"/>
        <v>2.0306250000001942</v>
      </c>
      <c r="J9" s="2" t="s">
        <v>310</v>
      </c>
      <c r="K9" s="3">
        <f>AVERAGE(E46:E51)</f>
        <v>0.72500000000000375</v>
      </c>
      <c r="L9" s="3">
        <f>AVERAGE(F46:F51)</f>
        <v>1.5083333333333258</v>
      </c>
      <c r="M9" s="3">
        <f>AVERAGE(G46:G51)</f>
        <v>3.4760416666666578</v>
      </c>
      <c r="N9" s="3">
        <f t="shared" si="0"/>
        <v>1.8644145640566794</v>
      </c>
      <c r="O9" s="3">
        <f>N9/AVERAGE(C46:C51)*100</f>
        <v>0.38763903889181772</v>
      </c>
    </row>
    <row r="10" spans="1:15" x14ac:dyDescent="0.3">
      <c r="A10" s="22"/>
      <c r="B10" s="3" t="s">
        <v>312</v>
      </c>
      <c r="C10" s="6">
        <v>637.79999999999995</v>
      </c>
      <c r="D10" s="3">
        <f t="shared" si="1"/>
        <v>640.57499999999993</v>
      </c>
      <c r="E10" s="3">
        <f t="shared" si="2"/>
        <v>-2.7749999999999773</v>
      </c>
      <c r="F10" s="3">
        <f t="shared" si="3"/>
        <v>2.7749999999999773</v>
      </c>
      <c r="G10" s="3">
        <f t="shared" si="4"/>
        <v>7.7006249999998735</v>
      </c>
    </row>
    <row r="11" spans="1:15" x14ac:dyDescent="0.3">
      <c r="A11" s="23"/>
      <c r="B11" s="3" t="s">
        <v>313</v>
      </c>
      <c r="C11" s="6">
        <v>621.4</v>
      </c>
      <c r="D11" s="3">
        <f t="shared" si="1"/>
        <v>639.5</v>
      </c>
      <c r="E11" s="3">
        <f t="shared" si="2"/>
        <v>-18.100000000000023</v>
      </c>
      <c r="F11" s="3">
        <f t="shared" si="3"/>
        <v>18.100000000000023</v>
      </c>
      <c r="G11" s="3">
        <f t="shared" si="4"/>
        <v>327.61000000000081</v>
      </c>
    </row>
    <row r="12" spans="1:15" x14ac:dyDescent="0.3">
      <c r="A12" s="21">
        <v>33</v>
      </c>
      <c r="B12" s="9">
        <v>8</v>
      </c>
      <c r="C12" s="2">
        <v>474.4</v>
      </c>
      <c r="D12" s="3"/>
      <c r="E12" s="3"/>
      <c r="F12" s="3"/>
      <c r="G12" s="12"/>
    </row>
    <row r="13" spans="1:15" x14ac:dyDescent="0.3">
      <c r="A13" s="22"/>
      <c r="B13" s="3">
        <v>9</v>
      </c>
      <c r="C13" s="2">
        <v>474.5</v>
      </c>
      <c r="D13" s="3"/>
      <c r="E13" s="2"/>
      <c r="F13" s="2"/>
      <c r="G13" s="2"/>
      <c r="K13" s="4"/>
      <c r="L13" s="4"/>
      <c r="M13" s="4"/>
      <c r="N13" s="4"/>
    </row>
    <row r="14" spans="1:15" x14ac:dyDescent="0.3">
      <c r="A14" s="22"/>
      <c r="B14" s="3">
        <v>10</v>
      </c>
      <c r="C14" s="2">
        <v>478.5</v>
      </c>
      <c r="D14" s="3"/>
      <c r="E14" s="2"/>
      <c r="F14" s="2"/>
      <c r="G14" s="2"/>
      <c r="K14" s="4"/>
      <c r="L14" s="4"/>
      <c r="M14" s="4"/>
      <c r="N14" s="4"/>
    </row>
    <row r="15" spans="1:15" x14ac:dyDescent="0.3">
      <c r="A15" s="22"/>
      <c r="B15" s="3">
        <v>11</v>
      </c>
      <c r="C15" s="2">
        <v>473</v>
      </c>
      <c r="D15" s="3"/>
      <c r="E15" s="2"/>
      <c r="F15" s="2"/>
      <c r="G15" s="2"/>
      <c r="K15" s="4"/>
      <c r="L15" s="4"/>
      <c r="M15" s="4"/>
      <c r="N15" s="4"/>
    </row>
    <row r="16" spans="1:15" x14ac:dyDescent="0.3">
      <c r="A16" s="22"/>
      <c r="B16" s="3">
        <v>12</v>
      </c>
      <c r="C16" s="2">
        <v>472.4</v>
      </c>
      <c r="D16" s="3">
        <f>AVERAGE(C12:C15)</f>
        <v>475.1</v>
      </c>
      <c r="E16" s="3">
        <f>C16-D16</f>
        <v>-2.7000000000000455</v>
      </c>
      <c r="F16" s="3">
        <f>ABS(E16)</f>
        <v>2.7000000000000455</v>
      </c>
      <c r="G16" s="3">
        <f>E16^2</f>
        <v>7.2900000000002452</v>
      </c>
      <c r="K16" s="4"/>
      <c r="L16" s="4"/>
      <c r="M16" s="4"/>
      <c r="N16" s="4"/>
    </row>
    <row r="17" spans="1:14" x14ac:dyDescent="0.3">
      <c r="A17" s="22"/>
      <c r="B17" s="3">
        <v>16</v>
      </c>
      <c r="C17" s="2">
        <v>472.8</v>
      </c>
      <c r="D17" s="3">
        <f t="shared" ref="D17:D21" si="5">AVERAGE(C13:C16)</f>
        <v>474.6</v>
      </c>
      <c r="E17" s="3">
        <f t="shared" ref="E17:E21" si="6">C17-D17</f>
        <v>-1.8000000000000114</v>
      </c>
      <c r="F17" s="3">
        <f t="shared" ref="F17:F21" si="7">ABS(E17)</f>
        <v>1.8000000000000114</v>
      </c>
      <c r="G17" s="3">
        <f t="shared" ref="G17:G21" si="8">E17^2</f>
        <v>3.2400000000000411</v>
      </c>
      <c r="K17" s="4"/>
      <c r="L17" s="4"/>
      <c r="M17" s="4"/>
      <c r="N17" s="4"/>
    </row>
    <row r="18" spans="1:14" x14ac:dyDescent="0.3">
      <c r="A18" s="22"/>
      <c r="B18" s="3">
        <v>20</v>
      </c>
      <c r="C18" s="2">
        <v>473.1</v>
      </c>
      <c r="D18" s="3">
        <f t="shared" si="5"/>
        <v>474.17500000000001</v>
      </c>
      <c r="E18" s="3">
        <f t="shared" si="6"/>
        <v>-1.0749999999999886</v>
      </c>
      <c r="F18" s="3">
        <f t="shared" si="7"/>
        <v>1.0749999999999886</v>
      </c>
      <c r="G18" s="3">
        <f t="shared" si="8"/>
        <v>1.1556249999999755</v>
      </c>
    </row>
    <row r="19" spans="1:14" x14ac:dyDescent="0.3">
      <c r="A19" s="22"/>
      <c r="B19" s="3">
        <v>0</v>
      </c>
      <c r="C19" s="2">
        <v>486</v>
      </c>
      <c r="D19" s="3">
        <f t="shared" si="5"/>
        <v>472.82500000000005</v>
      </c>
      <c r="E19" s="3">
        <f t="shared" si="6"/>
        <v>13.174999999999955</v>
      </c>
      <c r="F19" s="3">
        <f t="shared" si="7"/>
        <v>13.174999999999955</v>
      </c>
      <c r="G19" s="3">
        <f t="shared" si="8"/>
        <v>173.5806249999988</v>
      </c>
    </row>
    <row r="20" spans="1:14" x14ac:dyDescent="0.3">
      <c r="A20" s="22"/>
      <c r="B20" s="3" t="s">
        <v>312</v>
      </c>
      <c r="C20" s="6">
        <v>479.2</v>
      </c>
      <c r="D20" s="3">
        <f t="shared" si="5"/>
        <v>476.07500000000005</v>
      </c>
      <c r="E20" s="3">
        <f t="shared" si="6"/>
        <v>3.1249999999999432</v>
      </c>
      <c r="F20" s="3">
        <f t="shared" si="7"/>
        <v>3.1249999999999432</v>
      </c>
      <c r="G20" s="3">
        <f t="shared" si="8"/>
        <v>9.7656249999996447</v>
      </c>
    </row>
    <row r="21" spans="1:14" x14ac:dyDescent="0.3">
      <c r="A21" s="23"/>
      <c r="B21" s="3" t="s">
        <v>313</v>
      </c>
      <c r="C21" s="6">
        <v>479.5</v>
      </c>
      <c r="D21" s="3">
        <f t="shared" si="5"/>
        <v>477.77500000000003</v>
      </c>
      <c r="E21" s="3">
        <f t="shared" si="6"/>
        <v>1.7249999999999659</v>
      </c>
      <c r="F21" s="3">
        <f t="shared" si="7"/>
        <v>1.7249999999999659</v>
      </c>
      <c r="G21" s="3">
        <f t="shared" si="8"/>
        <v>2.9756249999998823</v>
      </c>
    </row>
    <row r="22" spans="1:14" x14ac:dyDescent="0.3">
      <c r="A22" s="21">
        <v>46</v>
      </c>
      <c r="B22" s="9">
        <v>8</v>
      </c>
      <c r="C22" s="2">
        <v>474.5</v>
      </c>
      <c r="D22" s="3"/>
      <c r="E22" s="3"/>
      <c r="F22" s="3"/>
      <c r="G22" s="12"/>
    </row>
    <row r="23" spans="1:14" x14ac:dyDescent="0.3">
      <c r="A23" s="22"/>
      <c r="B23" s="3">
        <v>9</v>
      </c>
      <c r="C23" s="2">
        <v>472.8</v>
      </c>
      <c r="D23" s="3"/>
      <c r="E23" s="2"/>
      <c r="F23" s="2"/>
      <c r="G23" s="2"/>
    </row>
    <row r="24" spans="1:14" x14ac:dyDescent="0.3">
      <c r="A24" s="22"/>
      <c r="B24" s="3">
        <v>10</v>
      </c>
      <c r="C24" s="2">
        <v>474.3</v>
      </c>
      <c r="D24" s="2"/>
      <c r="E24" s="2"/>
      <c r="F24" s="2"/>
      <c r="G24" s="2"/>
    </row>
    <row r="25" spans="1:14" x14ac:dyDescent="0.3">
      <c r="A25" s="22"/>
      <c r="B25" s="3">
        <v>11</v>
      </c>
      <c r="C25" s="2">
        <v>474</v>
      </c>
      <c r="D25" s="2"/>
      <c r="E25" s="2"/>
      <c r="F25" s="2"/>
      <c r="G25" s="2"/>
    </row>
    <row r="26" spans="1:14" x14ac:dyDescent="0.3">
      <c r="A26" s="22"/>
      <c r="B26" s="3">
        <v>12</v>
      </c>
      <c r="C26" s="2">
        <v>470.4</v>
      </c>
      <c r="D26" s="3">
        <f>AVERAGE(C22:C25)</f>
        <v>473.9</v>
      </c>
      <c r="E26" s="3">
        <f>C26-D26</f>
        <v>-3.5</v>
      </c>
      <c r="F26" s="3">
        <f>ABS(E26)</f>
        <v>3.5</v>
      </c>
      <c r="G26" s="3">
        <f>E26^2</f>
        <v>12.25</v>
      </c>
    </row>
    <row r="27" spans="1:14" x14ac:dyDescent="0.3">
      <c r="A27" s="22"/>
      <c r="B27" s="3">
        <v>16</v>
      </c>
      <c r="C27" s="2">
        <v>474.1</v>
      </c>
      <c r="D27" s="3">
        <f t="shared" ref="D27:D31" si="9">AVERAGE(C23:C26)</f>
        <v>472.875</v>
      </c>
      <c r="E27" s="3">
        <f t="shared" ref="E27:E31" si="10">C27-D27</f>
        <v>1.2250000000000227</v>
      </c>
      <c r="F27" s="3">
        <f t="shared" ref="F27:F31" si="11">ABS(E27)</f>
        <v>1.2250000000000227</v>
      </c>
      <c r="G27" s="3">
        <f t="shared" ref="G27:G31" si="12">E27^2</f>
        <v>1.5006250000000556</v>
      </c>
    </row>
    <row r="28" spans="1:14" x14ac:dyDescent="0.3">
      <c r="A28" s="22"/>
      <c r="B28" s="3">
        <v>20</v>
      </c>
      <c r="C28" s="2">
        <v>470.7</v>
      </c>
      <c r="D28" s="3">
        <f t="shared" si="9"/>
        <v>473.19999999999993</v>
      </c>
      <c r="E28" s="3">
        <f t="shared" si="10"/>
        <v>-2.4999999999999432</v>
      </c>
      <c r="F28" s="3">
        <f t="shared" si="11"/>
        <v>2.4999999999999432</v>
      </c>
      <c r="G28" s="3">
        <f t="shared" si="12"/>
        <v>6.2499999999997158</v>
      </c>
    </row>
    <row r="29" spans="1:14" x14ac:dyDescent="0.3">
      <c r="A29" s="22"/>
      <c r="B29" s="3">
        <v>0</v>
      </c>
      <c r="C29" s="2">
        <v>469.6</v>
      </c>
      <c r="D29" s="3">
        <f t="shared" si="9"/>
        <v>472.3</v>
      </c>
      <c r="E29" s="3">
        <f t="shared" si="10"/>
        <v>-2.6999999999999886</v>
      </c>
      <c r="F29" s="3">
        <f t="shared" si="11"/>
        <v>2.6999999999999886</v>
      </c>
      <c r="G29" s="3">
        <f t="shared" si="12"/>
        <v>7.2899999999999388</v>
      </c>
    </row>
    <row r="30" spans="1:14" x14ac:dyDescent="0.3">
      <c r="A30" s="22"/>
      <c r="B30" s="3" t="s">
        <v>312</v>
      </c>
      <c r="C30" s="6">
        <v>475.2</v>
      </c>
      <c r="D30" s="3">
        <f t="shared" si="9"/>
        <v>471.20000000000005</v>
      </c>
      <c r="E30" s="3">
        <f t="shared" si="10"/>
        <v>3.9999999999999432</v>
      </c>
      <c r="F30" s="3">
        <f t="shared" si="11"/>
        <v>3.9999999999999432</v>
      </c>
      <c r="G30" s="3">
        <f t="shared" si="12"/>
        <v>15.999999999999545</v>
      </c>
    </row>
    <row r="31" spans="1:14" x14ac:dyDescent="0.3">
      <c r="A31" s="23"/>
      <c r="B31" s="3" t="s">
        <v>313</v>
      </c>
      <c r="C31" s="6">
        <v>483.3</v>
      </c>
      <c r="D31" s="3">
        <f t="shared" si="9"/>
        <v>472.40000000000003</v>
      </c>
      <c r="E31" s="3">
        <f t="shared" si="10"/>
        <v>10.899999999999977</v>
      </c>
      <c r="F31" s="3">
        <f t="shared" si="11"/>
        <v>10.899999999999977</v>
      </c>
      <c r="G31" s="3">
        <f t="shared" si="12"/>
        <v>118.8099999999995</v>
      </c>
    </row>
    <row r="32" spans="1:14" x14ac:dyDescent="0.3">
      <c r="A32" s="21" t="s">
        <v>309</v>
      </c>
      <c r="B32" s="3">
        <v>8</v>
      </c>
      <c r="C32" s="2">
        <v>473.6</v>
      </c>
      <c r="D32" s="3"/>
      <c r="E32" s="3"/>
      <c r="F32" s="3"/>
      <c r="G32" s="12"/>
    </row>
    <row r="33" spans="1:7" x14ac:dyDescent="0.3">
      <c r="A33" s="22"/>
      <c r="B33" s="3">
        <v>9</v>
      </c>
      <c r="C33" s="2">
        <v>470.3</v>
      </c>
      <c r="D33" s="2"/>
      <c r="E33" s="2"/>
      <c r="F33" s="2"/>
      <c r="G33" s="2"/>
    </row>
    <row r="34" spans="1:7" x14ac:dyDescent="0.3">
      <c r="A34" s="22"/>
      <c r="B34" s="3">
        <v>10</v>
      </c>
      <c r="C34" s="2">
        <v>482.5</v>
      </c>
      <c r="D34" s="2"/>
      <c r="E34" s="2"/>
      <c r="F34" s="2"/>
      <c r="G34" s="2"/>
    </row>
    <row r="35" spans="1:7" x14ac:dyDescent="0.3">
      <c r="A35" s="22"/>
      <c r="B35" s="3">
        <v>11</v>
      </c>
      <c r="C35" s="2">
        <v>471</v>
      </c>
      <c r="D35" s="2"/>
      <c r="E35" s="2"/>
      <c r="F35" s="2"/>
      <c r="G35" s="2"/>
    </row>
    <row r="36" spans="1:7" x14ac:dyDescent="0.3">
      <c r="A36" s="22"/>
      <c r="B36" s="3">
        <v>12</v>
      </c>
      <c r="C36" s="2">
        <v>467.4</v>
      </c>
      <c r="D36" s="3">
        <f>AVERAGE(C32:C35)</f>
        <v>474.35</v>
      </c>
      <c r="E36" s="3">
        <f>C36-D36</f>
        <v>-6.9500000000000455</v>
      </c>
      <c r="F36" s="3">
        <f>ABS(E36)</f>
        <v>6.9500000000000455</v>
      </c>
      <c r="G36" s="3">
        <f>E36^2</f>
        <v>48.302500000000634</v>
      </c>
    </row>
    <row r="37" spans="1:7" x14ac:dyDescent="0.3">
      <c r="A37" s="22"/>
      <c r="B37" s="3">
        <v>16</v>
      </c>
      <c r="C37" s="2">
        <v>474.8</v>
      </c>
      <c r="D37" s="3">
        <f t="shared" ref="D37:D41" si="13">AVERAGE(C33:C36)</f>
        <v>472.79999999999995</v>
      </c>
      <c r="E37" s="3">
        <f t="shared" ref="E37:E41" si="14">C37-D37</f>
        <v>2.0000000000000568</v>
      </c>
      <c r="F37" s="3">
        <f t="shared" ref="F37:F41" si="15">ABS(E37)</f>
        <v>2.0000000000000568</v>
      </c>
      <c r="G37" s="3">
        <f t="shared" ref="G37:G41" si="16">E37^2</f>
        <v>4.0000000000002274</v>
      </c>
    </row>
    <row r="38" spans="1:7" x14ac:dyDescent="0.3">
      <c r="A38" s="22"/>
      <c r="B38" s="3">
        <v>20</v>
      </c>
      <c r="C38" s="2">
        <v>470.7</v>
      </c>
      <c r="D38" s="3">
        <f t="shared" si="13"/>
        <v>473.92500000000001</v>
      </c>
      <c r="E38" s="3">
        <f t="shared" si="14"/>
        <v>-3.2250000000000227</v>
      </c>
      <c r="F38" s="3">
        <f t="shared" si="15"/>
        <v>3.2250000000000227</v>
      </c>
      <c r="G38" s="3">
        <f t="shared" si="16"/>
        <v>10.400625000000147</v>
      </c>
    </row>
    <row r="39" spans="1:7" x14ac:dyDescent="0.3">
      <c r="A39" s="22"/>
      <c r="B39" s="3">
        <v>0</v>
      </c>
      <c r="C39" s="2">
        <v>472.9</v>
      </c>
      <c r="D39" s="3">
        <f t="shared" si="13"/>
        <v>470.97500000000002</v>
      </c>
      <c r="E39" s="3">
        <f t="shared" si="14"/>
        <v>1.9249999999999545</v>
      </c>
      <c r="F39" s="3">
        <f t="shared" si="15"/>
        <v>1.9249999999999545</v>
      </c>
      <c r="G39" s="3">
        <f t="shared" si="16"/>
        <v>3.705624999999825</v>
      </c>
    </row>
    <row r="40" spans="1:7" x14ac:dyDescent="0.3">
      <c r="A40" s="22"/>
      <c r="B40" s="3" t="s">
        <v>312</v>
      </c>
      <c r="C40" s="6">
        <v>477.3</v>
      </c>
      <c r="D40" s="3">
        <f t="shared" si="13"/>
        <v>471.45000000000005</v>
      </c>
      <c r="E40" s="3">
        <f t="shared" si="14"/>
        <v>5.8499999999999659</v>
      </c>
      <c r="F40" s="3">
        <f t="shared" si="15"/>
        <v>5.8499999999999659</v>
      </c>
      <c r="G40" s="3">
        <f t="shared" si="16"/>
        <v>34.222499999999599</v>
      </c>
    </row>
    <row r="41" spans="1:7" x14ac:dyDescent="0.3">
      <c r="A41" s="23"/>
      <c r="B41" s="3" t="s">
        <v>313</v>
      </c>
      <c r="C41" s="6">
        <v>479.5</v>
      </c>
      <c r="D41" s="3">
        <f t="shared" si="13"/>
        <v>473.92500000000001</v>
      </c>
      <c r="E41" s="3">
        <f t="shared" si="14"/>
        <v>5.5749999999999886</v>
      </c>
      <c r="F41" s="3">
        <f t="shared" si="15"/>
        <v>5.5749999999999886</v>
      </c>
      <c r="G41" s="3">
        <f t="shared" si="16"/>
        <v>31.080624999999873</v>
      </c>
    </row>
    <row r="42" spans="1:7" x14ac:dyDescent="0.3">
      <c r="A42" s="21" t="s">
        <v>310</v>
      </c>
      <c r="B42" s="3">
        <v>8</v>
      </c>
      <c r="C42" s="2">
        <v>479.9</v>
      </c>
      <c r="D42" s="3"/>
      <c r="E42" s="3"/>
      <c r="F42" s="3"/>
      <c r="G42" s="12"/>
    </row>
    <row r="43" spans="1:7" x14ac:dyDescent="0.3">
      <c r="A43" s="22"/>
      <c r="B43" s="3">
        <v>9</v>
      </c>
      <c r="C43" s="2">
        <v>479</v>
      </c>
      <c r="E43" s="2"/>
      <c r="F43" s="2"/>
      <c r="G43" s="2"/>
    </row>
    <row r="44" spans="1:7" x14ac:dyDescent="0.3">
      <c r="A44" s="22"/>
      <c r="B44" s="3">
        <v>10</v>
      </c>
      <c r="C44" s="2">
        <v>479.6</v>
      </c>
      <c r="D44" s="2"/>
      <c r="E44" s="2"/>
      <c r="F44" s="2"/>
      <c r="G44" s="2"/>
    </row>
    <row r="45" spans="1:7" x14ac:dyDescent="0.3">
      <c r="A45" s="22"/>
      <c r="B45" s="3">
        <v>11</v>
      </c>
      <c r="C45" s="2">
        <v>480.1</v>
      </c>
      <c r="D45" s="2"/>
      <c r="E45" s="2"/>
      <c r="F45" s="2"/>
      <c r="G45" s="2"/>
    </row>
    <row r="46" spans="1:7" x14ac:dyDescent="0.3">
      <c r="A46" s="22"/>
      <c r="B46" s="3">
        <v>12</v>
      </c>
      <c r="C46" s="2">
        <v>480.4</v>
      </c>
      <c r="D46" s="3">
        <f>AVERAGE(C42:C45)</f>
        <v>479.65</v>
      </c>
      <c r="E46" s="3">
        <f>C46-D46</f>
        <v>0.75</v>
      </c>
      <c r="F46" s="3">
        <f>ABS(E46)</f>
        <v>0.75</v>
      </c>
      <c r="G46" s="3">
        <f>E46^2</f>
        <v>0.5625</v>
      </c>
    </row>
    <row r="47" spans="1:7" x14ac:dyDescent="0.3">
      <c r="A47" s="22"/>
      <c r="B47" s="3">
        <v>16</v>
      </c>
      <c r="C47" s="2">
        <v>480.7</v>
      </c>
      <c r="D47" s="3">
        <f t="shared" ref="D47:D51" si="17">AVERAGE(C43:C46)</f>
        <v>479.77499999999998</v>
      </c>
      <c r="E47" s="3">
        <f t="shared" ref="E47:E51" si="18">C47-D47</f>
        <v>0.92500000000001137</v>
      </c>
      <c r="F47" s="3">
        <f t="shared" ref="F47:F51" si="19">ABS(E47)</f>
        <v>0.92500000000001137</v>
      </c>
      <c r="G47" s="3">
        <f t="shared" ref="G47:G51" si="20">E47^2</f>
        <v>0.85562500000002106</v>
      </c>
    </row>
    <row r="48" spans="1:7" x14ac:dyDescent="0.3">
      <c r="A48" s="22"/>
      <c r="B48" s="3">
        <v>20</v>
      </c>
      <c r="C48" s="2">
        <v>479.2</v>
      </c>
      <c r="D48" s="3">
        <f t="shared" si="17"/>
        <v>480.2</v>
      </c>
      <c r="E48" s="3">
        <f t="shared" si="18"/>
        <v>-1</v>
      </c>
      <c r="F48" s="3">
        <f t="shared" si="19"/>
        <v>1</v>
      </c>
      <c r="G48" s="3">
        <f t="shared" si="20"/>
        <v>1</v>
      </c>
    </row>
    <row r="49" spans="1:7" x14ac:dyDescent="0.3">
      <c r="A49" s="22"/>
      <c r="B49" s="3">
        <v>0</v>
      </c>
      <c r="C49" s="2">
        <v>481.2</v>
      </c>
      <c r="D49" s="3">
        <f t="shared" si="17"/>
        <v>480.1</v>
      </c>
      <c r="E49" s="3">
        <f t="shared" si="18"/>
        <v>1.0999999999999659</v>
      </c>
      <c r="F49" s="3">
        <f t="shared" si="19"/>
        <v>1.0999999999999659</v>
      </c>
      <c r="G49" s="3">
        <f t="shared" si="20"/>
        <v>1.2099999999999249</v>
      </c>
    </row>
    <row r="50" spans="1:7" x14ac:dyDescent="0.3">
      <c r="A50" s="22"/>
      <c r="B50" s="3" t="s">
        <v>312</v>
      </c>
      <c r="C50" s="6">
        <v>484.3</v>
      </c>
      <c r="D50" s="3">
        <f t="shared" si="17"/>
        <v>480.375</v>
      </c>
      <c r="E50" s="3">
        <f t="shared" si="18"/>
        <v>3.9250000000000114</v>
      </c>
      <c r="F50" s="3">
        <f t="shared" si="19"/>
        <v>3.9250000000000114</v>
      </c>
      <c r="G50" s="3">
        <f t="shared" si="20"/>
        <v>15.405625000000089</v>
      </c>
    </row>
    <row r="51" spans="1:7" x14ac:dyDescent="0.3">
      <c r="A51" s="23"/>
      <c r="B51" s="3" t="s">
        <v>313</v>
      </c>
      <c r="C51" s="6">
        <v>480</v>
      </c>
      <c r="D51" s="3">
        <f t="shared" si="17"/>
        <v>481.34999999999997</v>
      </c>
      <c r="E51" s="3">
        <f t="shared" si="18"/>
        <v>-1.3499999999999659</v>
      </c>
      <c r="F51" s="3">
        <f t="shared" si="19"/>
        <v>1.3499999999999659</v>
      </c>
      <c r="G51" s="3">
        <f t="shared" si="20"/>
        <v>1.8224999999999079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1AAB-ACDF-4EB6-A0B4-9ADC0A5E55CD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12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306</v>
      </c>
      <c r="D1" s="10" t="s">
        <v>326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2">
        <v>0.23699999999999999</v>
      </c>
      <c r="D2" s="7"/>
      <c r="E2" s="3"/>
      <c r="F2" s="3"/>
      <c r="G2" s="12"/>
    </row>
    <row r="3" spans="1:15" x14ac:dyDescent="0.3">
      <c r="A3" s="22"/>
      <c r="B3" s="3">
        <v>9</v>
      </c>
      <c r="C3" s="2">
        <v>0.34499999999999997</v>
      </c>
      <c r="D3" s="7"/>
      <c r="E3" s="3"/>
      <c r="F3" s="3"/>
      <c r="G3" s="12"/>
    </row>
    <row r="4" spans="1:15" x14ac:dyDescent="0.3">
      <c r="A4" s="22"/>
      <c r="B4" s="3">
        <v>10</v>
      </c>
      <c r="C4" s="2">
        <v>0.34300000000000003</v>
      </c>
      <c r="D4" s="7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2">
        <v>0.34300000000000003</v>
      </c>
      <c r="D5" s="7"/>
      <c r="E5" s="3"/>
      <c r="F5" s="3"/>
      <c r="G5" s="12"/>
      <c r="J5" s="2" t="s">
        <v>297</v>
      </c>
      <c r="K5" s="3">
        <f>AVERAGE(E6:E11)</f>
        <v>2.333333333333317E-3</v>
      </c>
      <c r="L5" s="3">
        <f>AVERAGE(F6:F11)</f>
        <v>7.0833333333333122E-3</v>
      </c>
      <c r="M5" s="3">
        <f>AVERAGE(G6:G11)</f>
        <v>1.3991666666666644E-4</v>
      </c>
      <c r="N5" s="3">
        <f>SQRT(M5)</f>
        <v>1.1828637565952659E-2</v>
      </c>
      <c r="O5" s="3">
        <f>N5/AVERAGE(C6:C11)*100</f>
        <v>3.4654211619001929</v>
      </c>
    </row>
    <row r="6" spans="1:15" x14ac:dyDescent="0.3">
      <c r="A6" s="22"/>
      <c r="B6" s="3">
        <v>12</v>
      </c>
      <c r="C6" s="2">
        <v>0.34399999999999997</v>
      </c>
      <c r="D6" s="7">
        <f>AVERAGE(C2:C5)</f>
        <v>0.317</v>
      </c>
      <c r="E6" s="3">
        <f>C6-D6</f>
        <v>2.6999999999999968E-2</v>
      </c>
      <c r="F6" s="3">
        <f>ABS(E6)</f>
        <v>2.6999999999999968E-2</v>
      </c>
      <c r="G6" s="3">
        <f>E6^2</f>
        <v>7.2899999999999831E-4</v>
      </c>
      <c r="J6" s="2">
        <v>33</v>
      </c>
      <c r="K6" s="3">
        <f>AVERAGE(E16:E21)</f>
        <v>1.0138888888888975E-3</v>
      </c>
      <c r="L6" s="3">
        <f>AVERAGE(F16:F21)</f>
        <v>2.3194444444444387E-3</v>
      </c>
      <c r="M6" s="3">
        <f>AVERAGE(G16:G21)</f>
        <v>1.1327546296296355E-5</v>
      </c>
      <c r="N6" s="3">
        <f t="shared" ref="N6:N9" si="0">SQRT(M6)</f>
        <v>3.3656420332971175E-3</v>
      </c>
      <c r="O6" s="3">
        <f>N6/AVERAGE(C16:C21)*100</f>
        <v>1.317276725360907</v>
      </c>
    </row>
    <row r="7" spans="1:15" x14ac:dyDescent="0.3">
      <c r="A7" s="22"/>
      <c r="B7" s="3">
        <v>16</v>
      </c>
      <c r="C7" s="2">
        <v>0.34300000000000003</v>
      </c>
      <c r="D7" s="7">
        <f t="shared" ref="D7:D11" si="1">AVERAGE(C3:C6)</f>
        <v>0.34375</v>
      </c>
      <c r="E7" s="3">
        <f t="shared" ref="E7:E11" si="2">C7-D7</f>
        <v>-7.4999999999997291E-4</v>
      </c>
      <c r="F7" s="3">
        <f t="shared" ref="F7:F11" si="3">ABS(E7)</f>
        <v>7.4999999999997291E-4</v>
      </c>
      <c r="G7" s="3">
        <f t="shared" ref="G7:G11" si="4">E7^2</f>
        <v>5.6249999999995936E-7</v>
      </c>
      <c r="J7" s="2">
        <v>46</v>
      </c>
      <c r="K7" s="3">
        <f>AVERAGE(E26:E31)</f>
        <v>8.0555555555556857E-4</v>
      </c>
      <c r="L7" s="3">
        <f>AVERAGE(F26:F31)</f>
        <v>2.1944444444444524E-3</v>
      </c>
      <c r="M7" s="3">
        <f>AVERAGE(G26:G31)</f>
        <v>7.6504629629630264E-6</v>
      </c>
      <c r="N7" s="3">
        <f t="shared" si="0"/>
        <v>2.7659470282279499E-3</v>
      </c>
      <c r="O7" s="3">
        <f>N7/AVERAGE(C26:C31)*100</f>
        <v>1.0889555229243897</v>
      </c>
    </row>
    <row r="8" spans="1:15" x14ac:dyDescent="0.3">
      <c r="A8" s="22"/>
      <c r="B8" s="3">
        <v>20</v>
      </c>
      <c r="C8" s="2">
        <v>0.34399999999999997</v>
      </c>
      <c r="D8" s="7">
        <f t="shared" si="1"/>
        <v>0.34325</v>
      </c>
      <c r="E8" s="3">
        <f t="shared" si="2"/>
        <v>7.4999999999997291E-4</v>
      </c>
      <c r="F8" s="3">
        <f t="shared" si="3"/>
        <v>7.4999999999997291E-4</v>
      </c>
      <c r="G8" s="3">
        <f t="shared" si="4"/>
        <v>5.6249999999995936E-7</v>
      </c>
      <c r="J8" s="2" t="s">
        <v>309</v>
      </c>
      <c r="K8" s="3">
        <f>AVERAGE(E36:E41)</f>
        <v>1.6666666666666682E-4</v>
      </c>
      <c r="L8" s="3">
        <f>AVERAGE(F36:F41)</f>
        <v>2.0833333333333259E-3</v>
      </c>
      <c r="M8" s="3">
        <f>AVERAGE(G36:G41)</f>
        <v>6.0208333333333207E-6</v>
      </c>
      <c r="N8" s="3">
        <f t="shared" si="0"/>
        <v>2.4537386440559071E-3</v>
      </c>
      <c r="O8" s="3">
        <f>N8/AVERAGE(C36:C41)*100</f>
        <v>0.96730826966724315</v>
      </c>
    </row>
    <row r="9" spans="1:15" x14ac:dyDescent="0.3">
      <c r="A9" s="22"/>
      <c r="B9" s="3">
        <v>0</v>
      </c>
      <c r="C9" s="2">
        <v>0.34399999999999997</v>
      </c>
      <c r="D9" s="7">
        <f t="shared" si="1"/>
        <v>0.34350000000000003</v>
      </c>
      <c r="E9" s="3">
        <f t="shared" si="2"/>
        <v>4.9999999999994493E-4</v>
      </c>
      <c r="F9" s="3">
        <f t="shared" si="3"/>
        <v>4.9999999999994493E-4</v>
      </c>
      <c r="G9" s="3">
        <f t="shared" si="4"/>
        <v>2.4999999999994493E-7</v>
      </c>
      <c r="J9" s="2" t="s">
        <v>310</v>
      </c>
      <c r="K9" s="3">
        <f>AVERAGE(E46:E51)</f>
        <v>4.5833333333333837E-4</v>
      </c>
      <c r="L9" s="3">
        <f>AVERAGE(F46:F51)</f>
        <v>1.041666666666663E-3</v>
      </c>
      <c r="M9" s="3">
        <f>AVERAGE(G46:G51)</f>
        <v>1.4479166666666438E-6</v>
      </c>
      <c r="N9" s="3">
        <f t="shared" si="0"/>
        <v>1.2032940898494614E-3</v>
      </c>
      <c r="O9" s="3">
        <f>N9/AVERAGE(C46:C51)*100</f>
        <v>0.46639305808118658</v>
      </c>
    </row>
    <row r="10" spans="1:15" x14ac:dyDescent="0.3">
      <c r="A10" s="22"/>
      <c r="B10" s="3" t="s">
        <v>312</v>
      </c>
      <c r="C10" s="7">
        <v>0.34</v>
      </c>
      <c r="D10" s="7">
        <f t="shared" si="1"/>
        <v>0.34375</v>
      </c>
      <c r="E10" s="3">
        <f t="shared" si="2"/>
        <v>-3.7499999999999756E-3</v>
      </c>
      <c r="F10" s="3">
        <f t="shared" si="3"/>
        <v>3.7499999999999756E-3</v>
      </c>
      <c r="G10" s="3">
        <f t="shared" si="4"/>
        <v>1.4062499999999817E-5</v>
      </c>
    </row>
    <row r="11" spans="1:15" x14ac:dyDescent="0.3">
      <c r="A11" s="23"/>
      <c r="B11" s="3" t="s">
        <v>313</v>
      </c>
      <c r="C11" s="7">
        <v>0.33300000000000002</v>
      </c>
      <c r="D11" s="7">
        <f t="shared" si="1"/>
        <v>0.34275000000000005</v>
      </c>
      <c r="E11" s="3">
        <f t="shared" si="2"/>
        <v>-9.7500000000000364E-3</v>
      </c>
      <c r="F11" s="3">
        <f t="shared" si="3"/>
        <v>9.7500000000000364E-3</v>
      </c>
      <c r="G11" s="3">
        <f t="shared" si="4"/>
        <v>9.5062500000000705E-5</v>
      </c>
    </row>
    <row r="12" spans="1:15" x14ac:dyDescent="0.3">
      <c r="A12" s="21">
        <v>33</v>
      </c>
      <c r="B12" s="9">
        <v>8</v>
      </c>
      <c r="C12" s="8"/>
      <c r="D12" s="7"/>
      <c r="E12" s="3"/>
      <c r="F12" s="3"/>
      <c r="G12" s="12"/>
      <c r="K12" s="4"/>
      <c r="L12" s="4"/>
      <c r="M12" s="4"/>
      <c r="N12" s="4"/>
    </row>
    <row r="13" spans="1:15" x14ac:dyDescent="0.3">
      <c r="A13" s="22"/>
      <c r="B13" s="3">
        <v>9</v>
      </c>
      <c r="C13" s="2">
        <v>0.254</v>
      </c>
      <c r="D13" s="7"/>
      <c r="E13" s="2"/>
      <c r="F13" s="2"/>
      <c r="G13" s="2"/>
      <c r="K13" s="4"/>
      <c r="L13" s="4"/>
      <c r="M13" s="4"/>
      <c r="N13" s="4"/>
    </row>
    <row r="14" spans="1:15" x14ac:dyDescent="0.3">
      <c r="A14" s="22"/>
      <c r="B14" s="3">
        <v>10</v>
      </c>
      <c r="C14" s="2">
        <v>0.25600000000000001</v>
      </c>
      <c r="D14" s="7"/>
      <c r="E14" s="2"/>
      <c r="F14" s="2"/>
      <c r="G14" s="2"/>
      <c r="K14" s="4"/>
      <c r="L14" s="4"/>
      <c r="M14" s="4"/>
      <c r="N14" s="4"/>
    </row>
    <row r="15" spans="1:15" x14ac:dyDescent="0.3">
      <c r="A15" s="22"/>
      <c r="B15" s="3">
        <v>11</v>
      </c>
      <c r="C15" s="2">
        <v>0.254</v>
      </c>
      <c r="D15" s="7"/>
      <c r="E15" s="2"/>
      <c r="F15" s="2"/>
      <c r="G15" s="2"/>
      <c r="K15" s="4"/>
      <c r="L15" s="4"/>
      <c r="M15" s="4"/>
      <c r="N15" s="4"/>
    </row>
    <row r="16" spans="1:15" x14ac:dyDescent="0.3">
      <c r="A16" s="22"/>
      <c r="B16" s="3">
        <v>12</v>
      </c>
      <c r="C16" s="2">
        <v>0.253</v>
      </c>
      <c r="D16" s="7">
        <f>AVERAGE(C12:C15)</f>
        <v>0.25466666666666665</v>
      </c>
      <c r="E16" s="3">
        <f>C16-D16</f>
        <v>-1.6666666666666496E-3</v>
      </c>
      <c r="F16" s="3">
        <f>ABS(E16)</f>
        <v>1.6666666666666496E-3</v>
      </c>
      <c r="G16" s="3">
        <f>E16^2</f>
        <v>2.7777777777777212E-6</v>
      </c>
      <c r="K16" s="4"/>
      <c r="L16" s="4"/>
      <c r="M16" s="4"/>
      <c r="N16" s="4"/>
    </row>
    <row r="17" spans="1:7" x14ac:dyDescent="0.3">
      <c r="A17" s="22"/>
      <c r="B17" s="3">
        <v>16</v>
      </c>
      <c r="C17" s="2">
        <v>0.253</v>
      </c>
      <c r="D17" s="7">
        <f t="shared" ref="D17:D21" si="5">AVERAGE(C13:C16)</f>
        <v>0.25424999999999998</v>
      </c>
      <c r="E17" s="3">
        <f t="shared" ref="E17:E21" si="6">C17-D17</f>
        <v>-1.2499999999999734E-3</v>
      </c>
      <c r="F17" s="3">
        <f t="shared" ref="F17:F21" si="7">ABS(E17)</f>
        <v>1.2499999999999734E-3</v>
      </c>
      <c r="G17" s="3">
        <f t="shared" ref="G17:G21" si="8">E17^2</f>
        <v>1.5624999999999334E-6</v>
      </c>
    </row>
    <row r="18" spans="1:7" x14ac:dyDescent="0.3">
      <c r="A18" s="22"/>
      <c r="B18" s="3">
        <v>20</v>
      </c>
      <c r="C18" s="2">
        <v>0.253</v>
      </c>
      <c r="D18" s="7">
        <f t="shared" si="5"/>
        <v>0.254</v>
      </c>
      <c r="E18" s="3">
        <f t="shared" si="6"/>
        <v>-1.0000000000000009E-3</v>
      </c>
      <c r="F18" s="3">
        <f t="shared" si="7"/>
        <v>1.0000000000000009E-3</v>
      </c>
      <c r="G18" s="3">
        <f t="shared" si="8"/>
        <v>1.0000000000000019E-6</v>
      </c>
    </row>
    <row r="19" spans="1:7" x14ac:dyDescent="0.3">
      <c r="A19" s="22"/>
      <c r="B19" s="3">
        <v>0</v>
      </c>
      <c r="C19" s="2">
        <v>0.26100000000000001</v>
      </c>
      <c r="D19" s="7">
        <f t="shared" si="5"/>
        <v>0.25324999999999998</v>
      </c>
      <c r="E19" s="3">
        <f t="shared" si="6"/>
        <v>7.7500000000000346E-3</v>
      </c>
      <c r="F19" s="3">
        <f t="shared" si="7"/>
        <v>7.7500000000000346E-3</v>
      </c>
      <c r="G19" s="3">
        <f t="shared" si="8"/>
        <v>6.0062500000000538E-5</v>
      </c>
    </row>
    <row r="20" spans="1:7" x14ac:dyDescent="0.3">
      <c r="A20" s="22"/>
      <c r="B20" s="3" t="s">
        <v>312</v>
      </c>
      <c r="C20" s="7">
        <v>0.25600000000000001</v>
      </c>
      <c r="D20" s="7">
        <f t="shared" si="5"/>
        <v>0.255</v>
      </c>
      <c r="E20" s="3">
        <f t="shared" si="6"/>
        <v>1.0000000000000009E-3</v>
      </c>
      <c r="F20" s="3">
        <f t="shared" si="7"/>
        <v>1.0000000000000009E-3</v>
      </c>
      <c r="G20" s="3">
        <f t="shared" si="8"/>
        <v>1.0000000000000019E-6</v>
      </c>
    </row>
    <row r="21" spans="1:7" x14ac:dyDescent="0.3">
      <c r="A21" s="23"/>
      <c r="B21" s="3" t="s">
        <v>313</v>
      </c>
      <c r="C21" s="7">
        <v>0.25700000000000001</v>
      </c>
      <c r="D21" s="7">
        <f t="shared" si="5"/>
        <v>0.25575000000000003</v>
      </c>
      <c r="E21" s="3">
        <f t="shared" si="6"/>
        <v>1.2499999999999734E-3</v>
      </c>
      <c r="F21" s="3">
        <f t="shared" si="7"/>
        <v>1.2499999999999734E-3</v>
      </c>
      <c r="G21" s="3">
        <f t="shared" si="8"/>
        <v>1.5624999999999334E-6</v>
      </c>
    </row>
    <row r="22" spans="1:7" x14ac:dyDescent="0.3">
      <c r="A22" s="21">
        <v>46</v>
      </c>
      <c r="B22" s="9">
        <v>8</v>
      </c>
      <c r="C22" s="8"/>
      <c r="D22" s="7"/>
      <c r="E22" s="3"/>
      <c r="F22" s="3"/>
      <c r="G22" s="12"/>
    </row>
    <row r="23" spans="1:7" x14ac:dyDescent="0.3">
      <c r="A23" s="22"/>
      <c r="B23" s="3">
        <v>9</v>
      </c>
      <c r="C23" s="2">
        <v>0.253</v>
      </c>
      <c r="D23" s="7"/>
      <c r="E23" s="2"/>
      <c r="F23" s="2"/>
      <c r="G23" s="2"/>
    </row>
    <row r="24" spans="1:7" x14ac:dyDescent="0.3">
      <c r="A24" s="22"/>
      <c r="B24" s="3">
        <v>10</v>
      </c>
      <c r="C24" s="2">
        <v>0.254</v>
      </c>
      <c r="D24" s="7"/>
      <c r="E24" s="2"/>
      <c r="F24" s="2"/>
      <c r="G24" s="2"/>
    </row>
    <row r="25" spans="1:7" x14ac:dyDescent="0.3">
      <c r="A25" s="22"/>
      <c r="B25" s="3">
        <v>11</v>
      </c>
      <c r="C25" s="2">
        <v>0.254</v>
      </c>
      <c r="D25" s="7"/>
      <c r="E25" s="2"/>
      <c r="F25" s="2"/>
      <c r="G25" s="2"/>
    </row>
    <row r="26" spans="1:7" x14ac:dyDescent="0.3">
      <c r="A26" s="22"/>
      <c r="B26" s="3">
        <v>12</v>
      </c>
      <c r="C26" s="2">
        <v>0.252</v>
      </c>
      <c r="D26" s="7">
        <f>AVERAGE(C22:C25)</f>
        <v>0.25366666666666665</v>
      </c>
      <c r="E26" s="3">
        <f>C26-D26</f>
        <v>-1.6666666666666496E-3</v>
      </c>
      <c r="F26" s="3">
        <f>ABS(E26)</f>
        <v>1.6666666666666496E-3</v>
      </c>
      <c r="G26" s="3">
        <f>E26^2</f>
        <v>2.7777777777777212E-6</v>
      </c>
    </row>
    <row r="27" spans="1:7" x14ac:dyDescent="0.3">
      <c r="A27" s="22"/>
      <c r="B27" s="3">
        <v>16</v>
      </c>
      <c r="C27" s="2">
        <v>0.254</v>
      </c>
      <c r="D27" s="7">
        <f t="shared" ref="D27:D31" si="9">AVERAGE(C23:C26)</f>
        <v>0.25324999999999998</v>
      </c>
      <c r="E27" s="3">
        <f t="shared" ref="E27:E31" si="10">C27-D27</f>
        <v>7.5000000000002842E-4</v>
      </c>
      <c r="F27" s="3">
        <f t="shared" ref="F27:F31" si="11">ABS(E27)</f>
        <v>7.5000000000002842E-4</v>
      </c>
      <c r="G27" s="3">
        <f t="shared" ref="G27:G31" si="12">E27^2</f>
        <v>5.6250000000004268E-7</v>
      </c>
    </row>
    <row r="28" spans="1:7" x14ac:dyDescent="0.3">
      <c r="A28" s="22"/>
      <c r="B28" s="3">
        <v>20</v>
      </c>
      <c r="C28" s="2">
        <v>0.252</v>
      </c>
      <c r="D28" s="7">
        <f t="shared" si="9"/>
        <v>0.2535</v>
      </c>
      <c r="E28" s="3">
        <f t="shared" si="10"/>
        <v>-1.5000000000000013E-3</v>
      </c>
      <c r="F28" s="3">
        <f t="shared" si="11"/>
        <v>1.5000000000000013E-3</v>
      </c>
      <c r="G28" s="3">
        <f t="shared" si="12"/>
        <v>2.2500000000000039E-6</v>
      </c>
    </row>
    <row r="29" spans="1:7" x14ac:dyDescent="0.3">
      <c r="A29" s="22"/>
      <c r="B29" s="3">
        <v>0</v>
      </c>
      <c r="C29" s="2">
        <v>0.252</v>
      </c>
      <c r="D29" s="7">
        <f t="shared" si="9"/>
        <v>0.253</v>
      </c>
      <c r="E29" s="3">
        <f t="shared" si="10"/>
        <v>-1.0000000000000009E-3</v>
      </c>
      <c r="F29" s="3">
        <f t="shared" si="11"/>
        <v>1.0000000000000009E-3</v>
      </c>
      <c r="G29" s="3">
        <f t="shared" si="12"/>
        <v>1.0000000000000019E-6</v>
      </c>
    </row>
    <row r="30" spans="1:7" x14ac:dyDescent="0.3">
      <c r="A30" s="22"/>
      <c r="B30" s="3" t="s">
        <v>312</v>
      </c>
      <c r="C30" s="7">
        <v>0.255</v>
      </c>
      <c r="D30" s="7">
        <f t="shared" si="9"/>
        <v>0.2525</v>
      </c>
      <c r="E30" s="3">
        <f t="shared" si="10"/>
        <v>2.5000000000000022E-3</v>
      </c>
      <c r="F30" s="3">
        <f t="shared" si="11"/>
        <v>2.5000000000000022E-3</v>
      </c>
      <c r="G30" s="3">
        <f t="shared" si="12"/>
        <v>6.2500000000000113E-6</v>
      </c>
    </row>
    <row r="31" spans="1:7" x14ac:dyDescent="0.3">
      <c r="A31" s="23"/>
      <c r="B31" s="3" t="s">
        <v>313</v>
      </c>
      <c r="C31" s="7">
        <v>0.25900000000000001</v>
      </c>
      <c r="D31" s="7">
        <f t="shared" si="9"/>
        <v>0.25324999999999998</v>
      </c>
      <c r="E31" s="3">
        <f t="shared" si="10"/>
        <v>5.7500000000000329E-3</v>
      </c>
      <c r="F31" s="3">
        <f t="shared" si="11"/>
        <v>5.7500000000000329E-3</v>
      </c>
      <c r="G31" s="3">
        <f t="shared" si="12"/>
        <v>3.3062500000000377E-5</v>
      </c>
    </row>
    <row r="32" spans="1:7" x14ac:dyDescent="0.3">
      <c r="A32" s="21" t="s">
        <v>309</v>
      </c>
      <c r="B32" s="3">
        <v>8</v>
      </c>
      <c r="C32" s="2">
        <v>0.254</v>
      </c>
      <c r="D32" s="7"/>
      <c r="E32" s="3"/>
      <c r="F32" s="3"/>
      <c r="G32" s="12"/>
    </row>
    <row r="33" spans="1:7" x14ac:dyDescent="0.3">
      <c r="A33" s="22"/>
      <c r="B33" s="3">
        <v>9</v>
      </c>
      <c r="C33" s="2">
        <v>0.252</v>
      </c>
      <c r="D33" s="7"/>
      <c r="E33" s="2"/>
      <c r="F33" s="2"/>
      <c r="G33" s="2"/>
    </row>
    <row r="34" spans="1:7" x14ac:dyDescent="0.3">
      <c r="A34" s="22"/>
      <c r="B34" s="3">
        <v>10</v>
      </c>
      <c r="C34" s="2">
        <v>0.25900000000000001</v>
      </c>
      <c r="D34" s="7"/>
      <c r="E34" s="2"/>
      <c r="F34" s="2"/>
      <c r="G34" s="2"/>
    </row>
    <row r="35" spans="1:7" x14ac:dyDescent="0.3">
      <c r="A35" s="22"/>
      <c r="B35" s="3">
        <v>11</v>
      </c>
      <c r="C35" s="2">
        <v>0.253</v>
      </c>
      <c r="D35" s="7"/>
      <c r="E35" s="2"/>
      <c r="F35" s="2"/>
      <c r="G35" s="2"/>
    </row>
    <row r="36" spans="1:7" x14ac:dyDescent="0.3">
      <c r="A36" s="22"/>
      <c r="B36" s="3">
        <v>12</v>
      </c>
      <c r="C36" s="2">
        <v>0.251</v>
      </c>
      <c r="D36" s="7">
        <f>AVERAGE(C32:C35)</f>
        <v>0.2545</v>
      </c>
      <c r="E36" s="3">
        <f>C36-D36</f>
        <v>-3.5000000000000031E-3</v>
      </c>
      <c r="F36" s="3">
        <f>ABS(E36)</f>
        <v>3.5000000000000031E-3</v>
      </c>
      <c r="G36" s="3">
        <f>E36^2</f>
        <v>1.2250000000000022E-5</v>
      </c>
    </row>
    <row r="37" spans="1:7" x14ac:dyDescent="0.3">
      <c r="A37" s="22"/>
      <c r="B37" s="3">
        <v>16</v>
      </c>
      <c r="C37" s="2">
        <v>0.254</v>
      </c>
      <c r="D37" s="7">
        <f t="shared" ref="D37:D41" si="13">AVERAGE(C33:C36)</f>
        <v>0.25375000000000003</v>
      </c>
      <c r="E37" s="3">
        <f t="shared" ref="E37:E41" si="14">C37-D37</f>
        <v>2.4999999999997247E-4</v>
      </c>
      <c r="F37" s="3">
        <f t="shared" ref="F37:F41" si="15">ABS(E37)</f>
        <v>2.4999999999997247E-4</v>
      </c>
      <c r="G37" s="3">
        <f t="shared" ref="G37:G41" si="16">E37^2</f>
        <v>6.2499999999986233E-8</v>
      </c>
    </row>
    <row r="38" spans="1:7" x14ac:dyDescent="0.3">
      <c r="A38" s="22"/>
      <c r="B38" s="3">
        <v>20</v>
      </c>
      <c r="C38" s="2">
        <v>0.252</v>
      </c>
      <c r="D38" s="7">
        <f t="shared" si="13"/>
        <v>0.25424999999999998</v>
      </c>
      <c r="E38" s="3">
        <f t="shared" si="14"/>
        <v>-2.2499999999999742E-3</v>
      </c>
      <c r="F38" s="3">
        <f t="shared" si="15"/>
        <v>2.2499999999999742E-3</v>
      </c>
      <c r="G38" s="3">
        <f t="shared" si="16"/>
        <v>5.0624999999998842E-6</v>
      </c>
    </row>
    <row r="39" spans="1:7" x14ac:dyDescent="0.3">
      <c r="A39" s="22"/>
      <c r="B39" s="3">
        <v>0</v>
      </c>
      <c r="C39" s="2">
        <v>0.253</v>
      </c>
      <c r="D39" s="7">
        <f t="shared" si="13"/>
        <v>0.2525</v>
      </c>
      <c r="E39" s="3">
        <f t="shared" si="14"/>
        <v>5.0000000000000044E-4</v>
      </c>
      <c r="F39" s="3">
        <f t="shared" si="15"/>
        <v>5.0000000000000044E-4</v>
      </c>
      <c r="G39" s="3">
        <f t="shared" si="16"/>
        <v>2.5000000000000047E-7</v>
      </c>
    </row>
    <row r="40" spans="1:7" x14ac:dyDescent="0.3">
      <c r="A40" s="22"/>
      <c r="B40" s="3" t="s">
        <v>312</v>
      </c>
      <c r="C40" s="7">
        <v>0.255</v>
      </c>
      <c r="D40" s="7">
        <f t="shared" si="13"/>
        <v>0.2525</v>
      </c>
      <c r="E40" s="3">
        <f t="shared" si="14"/>
        <v>2.5000000000000022E-3</v>
      </c>
      <c r="F40" s="3">
        <f t="shared" si="15"/>
        <v>2.5000000000000022E-3</v>
      </c>
      <c r="G40" s="3">
        <f t="shared" si="16"/>
        <v>6.2500000000000113E-6</v>
      </c>
    </row>
    <row r="41" spans="1:7" x14ac:dyDescent="0.3">
      <c r="A41" s="23"/>
      <c r="B41" s="3" t="s">
        <v>313</v>
      </c>
      <c r="C41" s="7">
        <v>0.25700000000000001</v>
      </c>
      <c r="D41" s="7">
        <f t="shared" si="13"/>
        <v>0.2535</v>
      </c>
      <c r="E41" s="3">
        <f t="shared" si="14"/>
        <v>3.5000000000000031E-3</v>
      </c>
      <c r="F41" s="3">
        <f t="shared" si="15"/>
        <v>3.5000000000000031E-3</v>
      </c>
      <c r="G41" s="3">
        <f t="shared" si="16"/>
        <v>1.2250000000000022E-5</v>
      </c>
    </row>
    <row r="42" spans="1:7" x14ac:dyDescent="0.3">
      <c r="A42" s="21" t="s">
        <v>310</v>
      </c>
      <c r="B42" s="3">
        <v>8</v>
      </c>
      <c r="C42" s="2">
        <v>0.25700000000000001</v>
      </c>
      <c r="D42" s="7"/>
      <c r="E42" s="3"/>
      <c r="F42" s="3"/>
      <c r="G42" s="12"/>
    </row>
    <row r="43" spans="1:7" x14ac:dyDescent="0.3">
      <c r="A43" s="22"/>
      <c r="B43" s="3">
        <v>9</v>
      </c>
      <c r="C43" s="2">
        <v>0.25700000000000001</v>
      </c>
      <c r="D43" s="14"/>
      <c r="E43" s="2"/>
      <c r="F43" s="2"/>
      <c r="G43" s="2"/>
    </row>
    <row r="44" spans="1:7" x14ac:dyDescent="0.3">
      <c r="A44" s="22"/>
      <c r="B44" s="3">
        <v>10</v>
      </c>
      <c r="C44" s="2">
        <v>0.25700000000000001</v>
      </c>
      <c r="D44" s="7"/>
      <c r="E44" s="2"/>
      <c r="F44" s="2"/>
      <c r="G44" s="2"/>
    </row>
    <row r="45" spans="1:7" x14ac:dyDescent="0.3">
      <c r="A45" s="22"/>
      <c r="B45" s="3">
        <v>11</v>
      </c>
      <c r="C45" s="2">
        <v>0.25700000000000001</v>
      </c>
      <c r="D45" s="7"/>
      <c r="E45" s="2"/>
      <c r="F45" s="2"/>
      <c r="G45" s="2"/>
    </row>
    <row r="46" spans="1:7" x14ac:dyDescent="0.3">
      <c r="A46" s="22"/>
      <c r="B46" s="3">
        <v>12</v>
      </c>
      <c r="C46" s="2">
        <v>0.25800000000000001</v>
      </c>
      <c r="D46" s="7">
        <f>AVERAGE(C42:C45)</f>
        <v>0.25700000000000001</v>
      </c>
      <c r="E46" s="3">
        <f>C46-D46</f>
        <v>1.0000000000000009E-3</v>
      </c>
      <c r="F46" s="3">
        <f>ABS(E46)</f>
        <v>1.0000000000000009E-3</v>
      </c>
      <c r="G46" s="3">
        <f>E46^2</f>
        <v>1.0000000000000019E-6</v>
      </c>
    </row>
    <row r="47" spans="1:7" x14ac:dyDescent="0.3">
      <c r="A47" s="22"/>
      <c r="B47" s="3">
        <v>16</v>
      </c>
      <c r="C47" s="2">
        <v>0.25800000000000001</v>
      </c>
      <c r="D47" s="7">
        <f t="shared" ref="D47:D51" si="17">AVERAGE(C43:C46)</f>
        <v>0.25724999999999998</v>
      </c>
      <c r="E47" s="3">
        <f t="shared" ref="E47:E51" si="18">C47-D47</f>
        <v>7.5000000000002842E-4</v>
      </c>
      <c r="F47" s="3">
        <f t="shared" ref="F47:F51" si="19">ABS(E47)</f>
        <v>7.5000000000002842E-4</v>
      </c>
      <c r="G47" s="3">
        <f t="shared" ref="G47:G51" si="20">E47^2</f>
        <v>5.6250000000004268E-7</v>
      </c>
    </row>
    <row r="48" spans="1:7" x14ac:dyDescent="0.3">
      <c r="A48" s="22"/>
      <c r="B48" s="3">
        <v>20</v>
      </c>
      <c r="C48" s="2">
        <v>0.25700000000000001</v>
      </c>
      <c r="D48" s="7">
        <f t="shared" si="17"/>
        <v>0.25750000000000001</v>
      </c>
      <c r="E48" s="3">
        <f t="shared" si="18"/>
        <v>-5.0000000000000044E-4</v>
      </c>
      <c r="F48" s="3">
        <f t="shared" si="19"/>
        <v>5.0000000000000044E-4</v>
      </c>
      <c r="G48" s="3">
        <f t="shared" si="20"/>
        <v>2.5000000000000047E-7</v>
      </c>
    </row>
    <row r="49" spans="1:7" x14ac:dyDescent="0.3">
      <c r="A49" s="22"/>
      <c r="B49" s="3">
        <v>0</v>
      </c>
      <c r="C49" s="2">
        <v>0.25800000000000001</v>
      </c>
      <c r="D49" s="7">
        <f t="shared" si="17"/>
        <v>0.25750000000000001</v>
      </c>
      <c r="E49" s="3">
        <f t="shared" si="18"/>
        <v>5.0000000000000044E-4</v>
      </c>
      <c r="F49" s="3">
        <f t="shared" si="19"/>
        <v>5.0000000000000044E-4</v>
      </c>
      <c r="G49" s="3">
        <f t="shared" si="20"/>
        <v>2.5000000000000047E-7</v>
      </c>
    </row>
    <row r="50" spans="1:7" x14ac:dyDescent="0.3">
      <c r="A50" s="22"/>
      <c r="B50" s="3" t="s">
        <v>312</v>
      </c>
      <c r="C50" s="7">
        <v>0.26</v>
      </c>
      <c r="D50" s="7">
        <f t="shared" si="17"/>
        <v>0.25775000000000003</v>
      </c>
      <c r="E50" s="3">
        <f t="shared" si="18"/>
        <v>2.2499999999999742E-3</v>
      </c>
      <c r="F50" s="3">
        <f t="shared" si="19"/>
        <v>2.2499999999999742E-3</v>
      </c>
      <c r="G50" s="3">
        <f t="shared" si="20"/>
        <v>5.0624999999998842E-6</v>
      </c>
    </row>
    <row r="51" spans="1:7" x14ac:dyDescent="0.3">
      <c r="A51" s="23"/>
      <c r="B51" s="3" t="s">
        <v>313</v>
      </c>
      <c r="C51" s="7">
        <v>0.25700000000000001</v>
      </c>
      <c r="D51" s="7">
        <f t="shared" si="17"/>
        <v>0.25824999999999998</v>
      </c>
      <c r="E51" s="3">
        <f t="shared" si="18"/>
        <v>-1.2499999999999734E-3</v>
      </c>
      <c r="F51" s="3">
        <f t="shared" si="19"/>
        <v>1.2499999999999734E-3</v>
      </c>
      <c r="G51" s="3">
        <f t="shared" si="20"/>
        <v>1.5624999999999334E-6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50C7-8830-48F0-B377-51E8DD39821B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307</v>
      </c>
      <c r="D1" s="10" t="s">
        <v>327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6">
        <v>317</v>
      </c>
      <c r="D2" s="3"/>
      <c r="E2" s="3"/>
      <c r="F2" s="3"/>
      <c r="G2" s="12"/>
    </row>
    <row r="3" spans="1:15" x14ac:dyDescent="0.3">
      <c r="A3" s="22"/>
      <c r="B3" s="3">
        <v>9</v>
      </c>
      <c r="C3" s="2">
        <v>323.39999999999998</v>
      </c>
      <c r="D3" s="3"/>
      <c r="E3" s="3"/>
      <c r="F3" s="3"/>
      <c r="G3" s="12"/>
    </row>
    <row r="4" spans="1:15" x14ac:dyDescent="0.3">
      <c r="A4" s="22"/>
      <c r="B4" s="3">
        <v>10</v>
      </c>
      <c r="C4" s="2">
        <v>323.5</v>
      </c>
      <c r="D4" s="3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2">
        <v>323.2</v>
      </c>
      <c r="D5" s="3"/>
      <c r="E5" s="3"/>
      <c r="F5" s="3"/>
      <c r="G5" s="12"/>
      <c r="J5" s="2" t="s">
        <v>297</v>
      </c>
      <c r="K5" s="3">
        <f>AVERAGE(E6:E11)</f>
        <v>0.22916666666669508</v>
      </c>
      <c r="L5" s="3">
        <f>AVERAGE(F6:F11)</f>
        <v>0.67083333333333905</v>
      </c>
      <c r="M5" s="3">
        <f>AVERAGE(G6:G11)</f>
        <v>1.0265625000000331</v>
      </c>
      <c r="N5" s="3">
        <f>SQRT(M5)</f>
        <v>1.0131942064579886</v>
      </c>
      <c r="O5" s="3">
        <f>N5/AVERAGE(C6:C11)*100</f>
        <v>0.31322986597011188</v>
      </c>
    </row>
    <row r="6" spans="1:15" x14ac:dyDescent="0.3">
      <c r="A6" s="22"/>
      <c r="B6" s="3">
        <v>12</v>
      </c>
      <c r="C6" s="2">
        <v>324.10000000000002</v>
      </c>
      <c r="D6" s="3">
        <f>AVERAGE(C2:C5)</f>
        <v>321.77499999999998</v>
      </c>
      <c r="E6" s="3">
        <f>C6-D6</f>
        <v>2.3250000000000455</v>
      </c>
      <c r="F6" s="3">
        <f>ABS(E6)</f>
        <v>2.3250000000000455</v>
      </c>
      <c r="G6" s="3">
        <f>E6^2</f>
        <v>5.4056250000002111</v>
      </c>
      <c r="J6" s="2">
        <v>33</v>
      </c>
      <c r="K6" s="3">
        <f>AVERAGE(E16:E21)</f>
        <v>0.88750000000000762</v>
      </c>
      <c r="L6" s="3">
        <f>AVERAGE(F16:F21)</f>
        <v>2.0541666666666649</v>
      </c>
      <c r="M6" s="3">
        <f>AVERAGE(G16:G21)</f>
        <v>8.4009374999999853</v>
      </c>
      <c r="N6" s="3">
        <f t="shared" ref="N6:N9" si="0">SQRT(M6)</f>
        <v>2.8984370788409373</v>
      </c>
      <c r="O6" s="3">
        <f>N6/AVERAGE(C16:C21)*100</f>
        <v>1.2043367363605002</v>
      </c>
    </row>
    <row r="7" spans="1:15" x14ac:dyDescent="0.3">
      <c r="A7" s="22"/>
      <c r="B7" s="3">
        <v>16</v>
      </c>
      <c r="C7" s="2">
        <v>323.2</v>
      </c>
      <c r="D7" s="3">
        <f t="shared" ref="D7:D11" si="1">AVERAGE(C3:C6)</f>
        <v>323.54999999999995</v>
      </c>
      <c r="E7" s="3">
        <f t="shared" ref="E7:E11" si="2">C7-D7</f>
        <v>-0.34999999999996589</v>
      </c>
      <c r="F7" s="3">
        <f t="shared" ref="F7:F11" si="3">ABS(E7)</f>
        <v>0.34999999999996589</v>
      </c>
      <c r="G7" s="3">
        <f t="shared" ref="G7:G11" si="4">E7^2</f>
        <v>0.12249999999997613</v>
      </c>
      <c r="J7" s="2">
        <v>46</v>
      </c>
      <c r="K7" s="3">
        <f>AVERAGE(E26:E31)</f>
        <v>0.71666666666666856</v>
      </c>
      <c r="L7" s="3">
        <f>AVERAGE(F26:F31)</f>
        <v>1.8749999999999905</v>
      </c>
      <c r="M7" s="3">
        <f>AVERAGE(G26:G31)</f>
        <v>6.0189583333332948</v>
      </c>
      <c r="N7" s="3">
        <f t="shared" si="0"/>
        <v>2.4533565442742509</v>
      </c>
      <c r="O7" s="3">
        <f>N7/AVERAGE(C26:C31)*100</f>
        <v>1.0256507292116432</v>
      </c>
    </row>
    <row r="8" spans="1:15" x14ac:dyDescent="0.3">
      <c r="A8" s="22"/>
      <c r="B8" s="3">
        <v>20</v>
      </c>
      <c r="C8" s="2">
        <v>323.60000000000002</v>
      </c>
      <c r="D8" s="3">
        <f t="shared" si="1"/>
        <v>323.5</v>
      </c>
      <c r="E8" s="3">
        <f t="shared" si="2"/>
        <v>0.10000000000002274</v>
      </c>
      <c r="F8" s="3">
        <f t="shared" si="3"/>
        <v>0.10000000000002274</v>
      </c>
      <c r="G8" s="3">
        <f t="shared" si="4"/>
        <v>1.0000000000004547E-2</v>
      </c>
      <c r="J8" s="2" t="s">
        <v>309</v>
      </c>
      <c r="K8" s="3">
        <f>AVERAGE(E36:E41)</f>
        <v>0.10833333333332955</v>
      </c>
      <c r="L8" s="3">
        <f>AVERAGE(F36:F41)</f>
        <v>1.9166666666666667</v>
      </c>
      <c r="M8" s="3">
        <f>AVERAGE(G36:G41)</f>
        <v>5.0464583333333319</v>
      </c>
      <c r="N8" s="3">
        <f t="shared" si="0"/>
        <v>2.2464323567232851</v>
      </c>
      <c r="O8" s="3">
        <f>N8/AVERAGE(C36:C41)*100</f>
        <v>0.94091407611446487</v>
      </c>
    </row>
    <row r="9" spans="1:15" x14ac:dyDescent="0.3">
      <c r="A9" s="22"/>
      <c r="B9" s="3">
        <v>0</v>
      </c>
      <c r="C9" s="2">
        <v>323.8</v>
      </c>
      <c r="D9" s="3">
        <f t="shared" si="1"/>
        <v>323.52499999999998</v>
      </c>
      <c r="E9" s="3">
        <f t="shared" si="2"/>
        <v>0.27500000000003411</v>
      </c>
      <c r="F9" s="3">
        <f t="shared" si="3"/>
        <v>0.27500000000003411</v>
      </c>
      <c r="G9" s="3">
        <f t="shared" si="4"/>
        <v>7.5625000000018761E-2</v>
      </c>
      <c r="J9" s="2" t="s">
        <v>310</v>
      </c>
      <c r="K9" s="3">
        <f>AVERAGE(E46:E51)</f>
        <v>0.11249999999999243</v>
      </c>
      <c r="L9" s="3">
        <f>AVERAGE(F46:F51)</f>
        <v>3.3625000000000114</v>
      </c>
      <c r="M9" s="3">
        <f>AVERAGE(G46:G51)</f>
        <v>22.009895833333402</v>
      </c>
      <c r="N9" s="3">
        <f t="shared" si="0"/>
        <v>4.6914705406016779</v>
      </c>
      <c r="O9" s="3">
        <f>N9/AVERAGE(C46:C51)*100</f>
        <v>1.9223399060035558</v>
      </c>
    </row>
    <row r="10" spans="1:15" x14ac:dyDescent="0.3">
      <c r="A10" s="22"/>
      <c r="B10" s="3" t="s">
        <v>312</v>
      </c>
      <c r="C10" s="6">
        <v>323</v>
      </c>
      <c r="D10" s="3">
        <f t="shared" si="1"/>
        <v>323.67500000000001</v>
      </c>
      <c r="E10" s="3">
        <f t="shared" si="2"/>
        <v>-0.67500000000001137</v>
      </c>
      <c r="F10" s="3">
        <f t="shared" si="3"/>
        <v>0.67500000000001137</v>
      </c>
      <c r="G10" s="3">
        <f t="shared" si="4"/>
        <v>0.45562500000001532</v>
      </c>
    </row>
    <row r="11" spans="1:15" x14ac:dyDescent="0.3">
      <c r="A11" s="23"/>
      <c r="B11" s="3" t="s">
        <v>313</v>
      </c>
      <c r="C11" s="6">
        <v>323.10000000000002</v>
      </c>
      <c r="D11" s="3">
        <f t="shared" si="1"/>
        <v>323.39999999999998</v>
      </c>
      <c r="E11" s="3">
        <f t="shared" si="2"/>
        <v>-0.29999999999995453</v>
      </c>
      <c r="F11" s="3">
        <f t="shared" si="3"/>
        <v>0.29999999999995453</v>
      </c>
      <c r="G11" s="3">
        <f t="shared" si="4"/>
        <v>8.9999999999972713E-2</v>
      </c>
    </row>
    <row r="12" spans="1:15" x14ac:dyDescent="0.3">
      <c r="A12" s="21">
        <v>33</v>
      </c>
      <c r="B12" s="9">
        <v>8</v>
      </c>
      <c r="C12" s="8"/>
      <c r="D12" s="3"/>
      <c r="E12" s="3"/>
      <c r="F12" s="3"/>
      <c r="G12" s="12"/>
    </row>
    <row r="13" spans="1:15" x14ac:dyDescent="0.3">
      <c r="A13" s="22"/>
      <c r="B13" s="3">
        <v>9</v>
      </c>
      <c r="C13" s="2">
        <v>239.5</v>
      </c>
      <c r="D13" s="3"/>
      <c r="E13" s="2"/>
      <c r="F13" s="2"/>
      <c r="G13" s="2"/>
      <c r="K13" s="4"/>
      <c r="L13" s="4"/>
      <c r="M13" s="4"/>
      <c r="N13" s="4"/>
    </row>
    <row r="14" spans="1:15" x14ac:dyDescent="0.3">
      <c r="A14" s="22"/>
      <c r="B14" s="3">
        <v>10</v>
      </c>
      <c r="C14" s="2">
        <v>241.6</v>
      </c>
      <c r="D14" s="3"/>
      <c r="E14" s="2"/>
      <c r="F14" s="2"/>
      <c r="G14" s="2"/>
      <c r="K14" s="4"/>
      <c r="L14" s="4"/>
      <c r="M14" s="4"/>
      <c r="N14" s="4"/>
    </row>
    <row r="15" spans="1:15" x14ac:dyDescent="0.3">
      <c r="A15" s="22"/>
      <c r="B15" s="3">
        <v>11</v>
      </c>
      <c r="C15" s="2">
        <v>238.9</v>
      </c>
      <c r="D15" s="3"/>
      <c r="E15" s="2"/>
      <c r="F15" s="2"/>
      <c r="G15" s="2"/>
      <c r="K15" s="4"/>
      <c r="L15" s="4"/>
      <c r="M15" s="4"/>
      <c r="N15" s="4"/>
    </row>
    <row r="16" spans="1:15" x14ac:dyDescent="0.3">
      <c r="A16" s="22"/>
      <c r="B16" s="3">
        <v>12</v>
      </c>
      <c r="C16" s="2">
        <v>238.4</v>
      </c>
      <c r="D16" s="3">
        <f>AVERAGE(C12:C15)</f>
        <v>240</v>
      </c>
      <c r="E16" s="3">
        <f>C16-D16</f>
        <v>-1.5999999999999943</v>
      </c>
      <c r="F16" s="3">
        <f>ABS(E16)</f>
        <v>1.5999999999999943</v>
      </c>
      <c r="G16" s="3">
        <f>E16^2</f>
        <v>2.5599999999999818</v>
      </c>
      <c r="K16" s="4"/>
      <c r="L16" s="4"/>
      <c r="M16" s="4"/>
      <c r="N16" s="4"/>
    </row>
    <row r="17" spans="1:14" x14ac:dyDescent="0.3">
      <c r="A17" s="22"/>
      <c r="B17" s="3">
        <v>16</v>
      </c>
      <c r="C17" s="2">
        <v>238.7</v>
      </c>
      <c r="D17" s="3">
        <f t="shared" ref="D17:D21" si="5">AVERAGE(C13:C16)</f>
        <v>239.6</v>
      </c>
      <c r="E17" s="3">
        <f t="shared" ref="E17:E21" si="6">C17-D17</f>
        <v>-0.90000000000000568</v>
      </c>
      <c r="F17" s="3">
        <f t="shared" ref="F17:F21" si="7">ABS(E17)</f>
        <v>0.90000000000000568</v>
      </c>
      <c r="G17" s="3">
        <f t="shared" ref="G17:G21" si="8">E17^2</f>
        <v>0.81000000000001027</v>
      </c>
      <c r="K17" s="4"/>
      <c r="L17" s="4"/>
      <c r="M17" s="4"/>
      <c r="N17" s="4"/>
    </row>
    <row r="18" spans="1:14" x14ac:dyDescent="0.3">
      <c r="A18" s="22"/>
      <c r="B18" s="3">
        <v>20</v>
      </c>
      <c r="C18" s="2">
        <v>238.4</v>
      </c>
      <c r="D18" s="3">
        <f t="shared" si="5"/>
        <v>239.39999999999998</v>
      </c>
      <c r="E18" s="3">
        <f t="shared" si="6"/>
        <v>-0.99999999999997158</v>
      </c>
      <c r="F18" s="3">
        <f t="shared" si="7"/>
        <v>0.99999999999997158</v>
      </c>
      <c r="G18" s="3">
        <f t="shared" si="8"/>
        <v>0.99999999999994316</v>
      </c>
    </row>
    <row r="19" spans="1:14" x14ac:dyDescent="0.3">
      <c r="A19" s="22"/>
      <c r="B19" s="3">
        <v>0</v>
      </c>
      <c r="C19" s="2">
        <v>245.2</v>
      </c>
      <c r="D19" s="3">
        <f t="shared" si="5"/>
        <v>238.6</v>
      </c>
      <c r="E19" s="3">
        <f t="shared" si="6"/>
        <v>6.5999999999999943</v>
      </c>
      <c r="F19" s="3">
        <f t="shared" si="7"/>
        <v>6.5999999999999943</v>
      </c>
      <c r="G19" s="3">
        <f t="shared" si="8"/>
        <v>43.559999999999924</v>
      </c>
    </row>
    <row r="20" spans="1:14" x14ac:dyDescent="0.3">
      <c r="A20" s="22"/>
      <c r="B20" s="3" t="s">
        <v>312</v>
      </c>
      <c r="C20" s="6">
        <v>241.3</v>
      </c>
      <c r="D20" s="3">
        <f t="shared" si="5"/>
        <v>240.17500000000001</v>
      </c>
      <c r="E20" s="3">
        <f t="shared" si="6"/>
        <v>1.125</v>
      </c>
      <c r="F20" s="3">
        <f t="shared" si="7"/>
        <v>1.125</v>
      </c>
      <c r="G20" s="3">
        <f t="shared" si="8"/>
        <v>1.265625</v>
      </c>
    </row>
    <row r="21" spans="1:14" x14ac:dyDescent="0.3">
      <c r="A21" s="23"/>
      <c r="B21" s="3" t="s">
        <v>313</v>
      </c>
      <c r="C21" s="6">
        <v>242</v>
      </c>
      <c r="D21" s="3">
        <f t="shared" si="5"/>
        <v>240.89999999999998</v>
      </c>
      <c r="E21" s="3">
        <f t="shared" si="6"/>
        <v>1.1000000000000227</v>
      </c>
      <c r="F21" s="3">
        <f t="shared" si="7"/>
        <v>1.1000000000000227</v>
      </c>
      <c r="G21" s="3">
        <f t="shared" si="8"/>
        <v>1.2100000000000499</v>
      </c>
    </row>
    <row r="22" spans="1:14" x14ac:dyDescent="0.3">
      <c r="A22" s="21">
        <v>46</v>
      </c>
      <c r="B22" s="9">
        <v>8</v>
      </c>
      <c r="C22" s="8"/>
      <c r="D22" s="3"/>
      <c r="E22" s="3"/>
      <c r="F22" s="3"/>
      <c r="G22" s="12"/>
    </row>
    <row r="23" spans="1:14" x14ac:dyDescent="0.3">
      <c r="A23" s="22"/>
      <c r="B23" s="3">
        <v>9</v>
      </c>
      <c r="C23" s="2">
        <v>238.7</v>
      </c>
      <c r="D23" s="3"/>
      <c r="E23" s="2"/>
      <c r="F23" s="2"/>
      <c r="G23" s="2"/>
    </row>
    <row r="24" spans="1:14" x14ac:dyDescent="0.3">
      <c r="A24" s="22"/>
      <c r="B24" s="3">
        <v>10</v>
      </c>
      <c r="C24" s="2">
        <v>239.3</v>
      </c>
      <c r="D24" s="2"/>
      <c r="E24" s="2"/>
      <c r="F24" s="2"/>
      <c r="G24" s="2"/>
    </row>
    <row r="25" spans="1:14" x14ac:dyDescent="0.3">
      <c r="A25" s="22"/>
      <c r="B25" s="3">
        <v>11</v>
      </c>
      <c r="C25" s="2">
        <v>239</v>
      </c>
      <c r="D25" s="2"/>
      <c r="E25" s="2"/>
      <c r="F25" s="2"/>
      <c r="G25" s="2"/>
    </row>
    <row r="26" spans="1:14" x14ac:dyDescent="0.3">
      <c r="A26" s="22"/>
      <c r="B26" s="3">
        <v>12</v>
      </c>
      <c r="C26" s="2">
        <v>237</v>
      </c>
      <c r="D26" s="3">
        <f>AVERAGE(C22:C25)</f>
        <v>239</v>
      </c>
      <c r="E26" s="3">
        <f>C26-D26</f>
        <v>-2</v>
      </c>
      <c r="F26" s="3">
        <f>ABS(E26)</f>
        <v>2</v>
      </c>
      <c r="G26" s="3">
        <f>E26^2</f>
        <v>4</v>
      </c>
    </row>
    <row r="27" spans="1:14" x14ac:dyDescent="0.3">
      <c r="A27" s="22"/>
      <c r="B27" s="3">
        <v>16</v>
      </c>
      <c r="C27" s="2">
        <v>239.3</v>
      </c>
      <c r="D27" s="3">
        <f t="shared" ref="D27:D31" si="9">AVERAGE(C23:C26)</f>
        <v>238.5</v>
      </c>
      <c r="E27" s="3">
        <f t="shared" ref="E27:E31" si="10">C27-D27</f>
        <v>0.80000000000001137</v>
      </c>
      <c r="F27" s="3">
        <f t="shared" ref="F27:F31" si="11">ABS(E27)</f>
        <v>0.80000000000001137</v>
      </c>
      <c r="G27" s="3">
        <f t="shared" ref="G27:G31" si="12">E27^2</f>
        <v>0.64000000000001822</v>
      </c>
    </row>
    <row r="28" spans="1:14" x14ac:dyDescent="0.3">
      <c r="A28" s="22"/>
      <c r="B28" s="3">
        <v>20</v>
      </c>
      <c r="C28" s="2">
        <v>237.6</v>
      </c>
      <c r="D28" s="3">
        <f t="shared" si="9"/>
        <v>238.64999999999998</v>
      </c>
      <c r="E28" s="3">
        <f t="shared" si="10"/>
        <v>-1.0499999999999829</v>
      </c>
      <c r="F28" s="3">
        <f t="shared" si="11"/>
        <v>1.0499999999999829</v>
      </c>
      <c r="G28" s="3">
        <f t="shared" si="12"/>
        <v>1.1024999999999643</v>
      </c>
    </row>
    <row r="29" spans="1:14" x14ac:dyDescent="0.3">
      <c r="A29" s="22"/>
      <c r="B29" s="3">
        <v>0</v>
      </c>
      <c r="C29" s="2">
        <v>237.8</v>
      </c>
      <c r="D29" s="3">
        <f t="shared" si="9"/>
        <v>238.22499999999999</v>
      </c>
      <c r="E29" s="3">
        <f t="shared" si="10"/>
        <v>-0.42499999999998295</v>
      </c>
      <c r="F29" s="3">
        <f t="shared" si="11"/>
        <v>0.42499999999998295</v>
      </c>
      <c r="G29" s="3">
        <f t="shared" si="12"/>
        <v>0.18062499999998549</v>
      </c>
    </row>
    <row r="30" spans="1:14" x14ac:dyDescent="0.3">
      <c r="A30" s="22"/>
      <c r="B30" s="3" t="s">
        <v>312</v>
      </c>
      <c r="C30" s="6">
        <v>239.7</v>
      </c>
      <c r="D30" s="3">
        <f t="shared" si="9"/>
        <v>237.92500000000001</v>
      </c>
      <c r="E30" s="3">
        <f t="shared" si="10"/>
        <v>1.7749999999999773</v>
      </c>
      <c r="F30" s="3">
        <f t="shared" si="11"/>
        <v>1.7749999999999773</v>
      </c>
      <c r="G30" s="3">
        <f t="shared" si="12"/>
        <v>3.1506249999999194</v>
      </c>
    </row>
    <row r="31" spans="1:14" x14ac:dyDescent="0.3">
      <c r="A31" s="23"/>
      <c r="B31" s="3" t="s">
        <v>313</v>
      </c>
      <c r="C31" s="6">
        <v>243.8</v>
      </c>
      <c r="D31" s="3">
        <f t="shared" si="9"/>
        <v>238.60000000000002</v>
      </c>
      <c r="E31" s="3">
        <f t="shared" si="10"/>
        <v>5.1999999999999886</v>
      </c>
      <c r="F31" s="3">
        <f t="shared" si="11"/>
        <v>5.1999999999999886</v>
      </c>
      <c r="G31" s="3">
        <f t="shared" si="12"/>
        <v>27.039999999999882</v>
      </c>
    </row>
    <row r="32" spans="1:14" x14ac:dyDescent="0.3">
      <c r="A32" s="21" t="s">
        <v>309</v>
      </c>
      <c r="B32" s="3">
        <v>8</v>
      </c>
      <c r="C32" s="2">
        <v>239</v>
      </c>
      <c r="D32" s="3"/>
      <c r="E32" s="3"/>
      <c r="F32" s="3"/>
      <c r="G32" s="12"/>
    </row>
    <row r="33" spans="1:7" x14ac:dyDescent="0.3">
      <c r="A33" s="22"/>
      <c r="B33" s="3">
        <v>9</v>
      </c>
      <c r="C33" s="2">
        <v>237.4</v>
      </c>
      <c r="D33" s="2"/>
      <c r="E33" s="2"/>
      <c r="F33" s="2"/>
      <c r="G33" s="2"/>
    </row>
    <row r="34" spans="1:7" x14ac:dyDescent="0.3">
      <c r="A34" s="22"/>
      <c r="B34" s="3">
        <v>10</v>
      </c>
      <c r="C34" s="2">
        <v>243.6</v>
      </c>
      <c r="D34" s="2"/>
      <c r="E34" s="2"/>
      <c r="F34" s="2"/>
      <c r="G34" s="2"/>
    </row>
    <row r="35" spans="1:7" x14ac:dyDescent="0.3">
      <c r="A35" s="22"/>
      <c r="B35" s="3">
        <v>11</v>
      </c>
      <c r="C35" s="2">
        <v>238.1</v>
      </c>
      <c r="D35" s="2"/>
      <c r="E35" s="2"/>
      <c r="F35" s="2"/>
      <c r="G35" s="2"/>
    </row>
    <row r="36" spans="1:7" x14ac:dyDescent="0.3">
      <c r="A36" s="22"/>
      <c r="B36" s="3">
        <v>12</v>
      </c>
      <c r="C36" s="2">
        <v>235.9</v>
      </c>
      <c r="D36" s="3">
        <f>AVERAGE(C32:C35)</f>
        <v>239.52500000000001</v>
      </c>
      <c r="E36" s="3">
        <f>C36-D36</f>
        <v>-3.625</v>
      </c>
      <c r="F36" s="3">
        <f>ABS(E36)</f>
        <v>3.625</v>
      </c>
      <c r="G36" s="3">
        <f>E36^2</f>
        <v>13.140625</v>
      </c>
    </row>
    <row r="37" spans="1:7" x14ac:dyDescent="0.3">
      <c r="A37" s="22"/>
      <c r="B37" s="3">
        <v>16</v>
      </c>
      <c r="C37" s="2">
        <v>239.6</v>
      </c>
      <c r="D37" s="3">
        <f t="shared" ref="D37:D41" si="13">AVERAGE(C33:C36)</f>
        <v>238.75</v>
      </c>
      <c r="E37" s="3">
        <f t="shared" ref="E37:E41" si="14">C37-D37</f>
        <v>0.84999999999999432</v>
      </c>
      <c r="F37" s="3">
        <f t="shared" ref="F37:F41" si="15">ABS(E37)</f>
        <v>0.84999999999999432</v>
      </c>
      <c r="G37" s="3">
        <f t="shared" ref="G37:G41" si="16">E37^2</f>
        <v>0.72249999999999037</v>
      </c>
    </row>
    <row r="38" spans="1:7" x14ac:dyDescent="0.3">
      <c r="A38" s="22"/>
      <c r="B38" s="3">
        <v>20</v>
      </c>
      <c r="C38" s="2">
        <v>237.5</v>
      </c>
      <c r="D38" s="3">
        <f t="shared" si="13"/>
        <v>239.3</v>
      </c>
      <c r="E38" s="3">
        <f t="shared" si="14"/>
        <v>-1.8000000000000114</v>
      </c>
      <c r="F38" s="3">
        <f t="shared" si="15"/>
        <v>1.8000000000000114</v>
      </c>
      <c r="G38" s="3">
        <f t="shared" si="16"/>
        <v>3.2400000000000411</v>
      </c>
    </row>
    <row r="39" spans="1:7" x14ac:dyDescent="0.3">
      <c r="A39" s="22"/>
      <c r="B39" s="3">
        <v>0</v>
      </c>
      <c r="C39" s="2">
        <v>238.4</v>
      </c>
      <c r="D39" s="3">
        <f t="shared" si="13"/>
        <v>237.77500000000001</v>
      </c>
      <c r="E39" s="3">
        <f t="shared" si="14"/>
        <v>0.625</v>
      </c>
      <c r="F39" s="3">
        <f t="shared" si="15"/>
        <v>0.625</v>
      </c>
      <c r="G39" s="3">
        <f t="shared" si="16"/>
        <v>0.390625</v>
      </c>
    </row>
    <row r="40" spans="1:7" x14ac:dyDescent="0.3">
      <c r="A40" s="22"/>
      <c r="B40" s="3" t="s">
        <v>312</v>
      </c>
      <c r="C40" s="6">
        <v>239.1</v>
      </c>
      <c r="D40" s="3">
        <f t="shared" si="13"/>
        <v>237.85</v>
      </c>
      <c r="E40" s="3">
        <f t="shared" si="14"/>
        <v>1.25</v>
      </c>
      <c r="F40" s="3">
        <f t="shared" si="15"/>
        <v>1.25</v>
      </c>
      <c r="G40" s="3">
        <f t="shared" si="16"/>
        <v>1.5625</v>
      </c>
    </row>
    <row r="41" spans="1:7" x14ac:dyDescent="0.3">
      <c r="A41" s="23"/>
      <c r="B41" s="3" t="s">
        <v>313</v>
      </c>
      <c r="C41" s="6">
        <v>242</v>
      </c>
      <c r="D41" s="3">
        <f t="shared" si="13"/>
        <v>238.65</v>
      </c>
      <c r="E41" s="3">
        <f t="shared" si="14"/>
        <v>3.3499999999999943</v>
      </c>
      <c r="F41" s="3">
        <f t="shared" si="15"/>
        <v>3.3499999999999943</v>
      </c>
      <c r="G41" s="3">
        <f t="shared" si="16"/>
        <v>11.222499999999961</v>
      </c>
    </row>
    <row r="42" spans="1:7" x14ac:dyDescent="0.3">
      <c r="A42" s="21" t="s">
        <v>310</v>
      </c>
      <c r="B42" s="3">
        <v>8</v>
      </c>
      <c r="C42" s="2">
        <v>242.2</v>
      </c>
      <c r="D42" s="3"/>
      <c r="E42" s="3"/>
      <c r="F42" s="3"/>
      <c r="G42" s="12"/>
    </row>
    <row r="43" spans="1:7" x14ac:dyDescent="0.3">
      <c r="A43" s="22"/>
      <c r="B43" s="3">
        <v>9</v>
      </c>
      <c r="C43" s="2">
        <v>241.8</v>
      </c>
      <c r="E43" s="2"/>
      <c r="F43" s="2"/>
      <c r="G43" s="2"/>
    </row>
    <row r="44" spans="1:7" x14ac:dyDescent="0.3">
      <c r="A44" s="22"/>
      <c r="B44" s="3">
        <v>10</v>
      </c>
      <c r="C44" s="2">
        <v>241.9</v>
      </c>
      <c r="D44" s="2"/>
      <c r="E44" s="2"/>
      <c r="F44" s="2"/>
      <c r="G44" s="2"/>
    </row>
    <row r="45" spans="1:7" x14ac:dyDescent="0.3">
      <c r="A45" s="22"/>
      <c r="B45" s="3">
        <v>11</v>
      </c>
      <c r="C45" s="2">
        <v>242.4</v>
      </c>
      <c r="D45" s="2"/>
      <c r="E45" s="2"/>
      <c r="F45" s="2"/>
      <c r="G45" s="2"/>
    </row>
    <row r="46" spans="1:7" x14ac:dyDescent="0.3">
      <c r="A46" s="22"/>
      <c r="B46" s="3">
        <v>12</v>
      </c>
      <c r="C46" s="2">
        <v>252.5</v>
      </c>
      <c r="D46" s="3">
        <f>AVERAGE(C42:C45)</f>
        <v>242.07499999999999</v>
      </c>
      <c r="E46" s="3">
        <f>C46-D46</f>
        <v>10.425000000000011</v>
      </c>
      <c r="F46" s="3">
        <f>ABS(E46)</f>
        <v>10.425000000000011</v>
      </c>
      <c r="G46" s="3">
        <f>E46^2</f>
        <v>108.68062500000023</v>
      </c>
    </row>
    <row r="47" spans="1:7" x14ac:dyDescent="0.3">
      <c r="A47" s="22"/>
      <c r="B47" s="3">
        <v>16</v>
      </c>
      <c r="C47" s="2">
        <v>242.6</v>
      </c>
      <c r="D47" s="3">
        <f t="shared" ref="D47:D51" si="17">AVERAGE(C43:C46)</f>
        <v>244.65</v>
      </c>
      <c r="E47" s="3">
        <f t="shared" ref="E47:E51" si="18">C47-D47</f>
        <v>-2.0500000000000114</v>
      </c>
      <c r="F47" s="3">
        <f t="shared" ref="F47:F51" si="19">ABS(E47)</f>
        <v>2.0500000000000114</v>
      </c>
      <c r="G47" s="3">
        <f t="shared" ref="G47:G51" si="20">E47^2</f>
        <v>4.2025000000000468</v>
      </c>
    </row>
    <row r="48" spans="1:7" x14ac:dyDescent="0.3">
      <c r="A48" s="22"/>
      <c r="B48" s="3">
        <v>20</v>
      </c>
      <c r="C48" s="2">
        <v>241.6</v>
      </c>
      <c r="D48" s="3">
        <f t="shared" si="17"/>
        <v>244.85</v>
      </c>
      <c r="E48" s="3">
        <f t="shared" si="18"/>
        <v>-3.25</v>
      </c>
      <c r="F48" s="3">
        <f t="shared" si="19"/>
        <v>3.25</v>
      </c>
      <c r="G48" s="3">
        <f t="shared" si="20"/>
        <v>10.5625</v>
      </c>
    </row>
    <row r="49" spans="1:7" x14ac:dyDescent="0.3">
      <c r="A49" s="22"/>
      <c r="B49" s="3">
        <v>0</v>
      </c>
      <c r="C49" s="2">
        <v>242.7</v>
      </c>
      <c r="D49" s="3">
        <f t="shared" si="17"/>
        <v>244.77500000000001</v>
      </c>
      <c r="E49" s="3">
        <f t="shared" si="18"/>
        <v>-2.0750000000000171</v>
      </c>
      <c r="F49" s="3">
        <f t="shared" si="19"/>
        <v>2.0750000000000171</v>
      </c>
      <c r="G49" s="3">
        <f t="shared" si="20"/>
        <v>4.3056250000000711</v>
      </c>
    </row>
    <row r="50" spans="1:7" x14ac:dyDescent="0.3">
      <c r="A50" s="22"/>
      <c r="B50" s="3" t="s">
        <v>312</v>
      </c>
      <c r="C50" s="6">
        <v>242.8</v>
      </c>
      <c r="D50" s="3">
        <f t="shared" si="17"/>
        <v>244.85000000000002</v>
      </c>
      <c r="E50" s="3">
        <f t="shared" si="18"/>
        <v>-2.0500000000000114</v>
      </c>
      <c r="F50" s="3">
        <f t="shared" si="19"/>
        <v>2.0500000000000114</v>
      </c>
      <c r="G50" s="3">
        <f t="shared" si="20"/>
        <v>4.2025000000000468</v>
      </c>
    </row>
    <row r="51" spans="1:7" x14ac:dyDescent="0.3">
      <c r="A51" s="23"/>
      <c r="B51" s="3" t="s">
        <v>313</v>
      </c>
      <c r="C51" s="6">
        <v>242.1</v>
      </c>
      <c r="D51" s="3">
        <f t="shared" si="17"/>
        <v>242.42500000000001</v>
      </c>
      <c r="E51" s="3">
        <f t="shared" si="18"/>
        <v>-0.32500000000001705</v>
      </c>
      <c r="F51" s="3">
        <f t="shared" si="19"/>
        <v>0.32500000000001705</v>
      </c>
      <c r="G51" s="3">
        <f t="shared" si="20"/>
        <v>0.10562500000001109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6C76-B707-4D62-9DF6-FDE4F13F0998}">
  <dimension ref="A1:O5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3"/>
  <cols>
    <col min="1" max="1" width="11.109375" style="30" customWidth="1"/>
    <col min="2" max="2" width="14" style="36" bestFit="1" customWidth="1"/>
    <col min="3" max="3" width="9.44140625" style="30" customWidth="1"/>
    <col min="4" max="4" width="11.44140625" style="30" customWidth="1"/>
    <col min="5" max="5" width="10.44140625" style="30" customWidth="1"/>
    <col min="6" max="6" width="8.44140625" style="30" customWidth="1"/>
    <col min="7" max="7" width="13.109375" style="30" customWidth="1"/>
    <col min="8" max="16384" width="8.88671875" style="30"/>
  </cols>
  <sheetData>
    <row r="1" spans="1:15" ht="34.200000000000003" customHeight="1" x14ac:dyDescent="0.3">
      <c r="A1" s="27" t="s">
        <v>311</v>
      </c>
      <c r="B1" s="28" t="s">
        <v>0</v>
      </c>
      <c r="C1" s="27" t="s">
        <v>298</v>
      </c>
      <c r="D1" s="29" t="s">
        <v>328</v>
      </c>
      <c r="E1" s="29" t="s">
        <v>315</v>
      </c>
      <c r="F1" s="29" t="s">
        <v>316</v>
      </c>
      <c r="G1" s="27" t="s">
        <v>317</v>
      </c>
    </row>
    <row r="2" spans="1:15" x14ac:dyDescent="0.3">
      <c r="A2" s="31" t="s">
        <v>308</v>
      </c>
      <c r="B2" s="32">
        <v>8</v>
      </c>
      <c r="C2" s="32">
        <v>0</v>
      </c>
      <c r="D2" s="32"/>
      <c r="E2" s="32"/>
      <c r="F2" s="32"/>
      <c r="G2" s="33"/>
    </row>
    <row r="3" spans="1:15" x14ac:dyDescent="0.3">
      <c r="A3" s="34"/>
      <c r="B3" s="32">
        <v>9</v>
      </c>
      <c r="C3" s="32">
        <v>0</v>
      </c>
      <c r="D3" s="32"/>
      <c r="E3" s="32"/>
      <c r="F3" s="32"/>
      <c r="G3" s="33"/>
    </row>
    <row r="4" spans="1:15" x14ac:dyDescent="0.3">
      <c r="A4" s="34"/>
      <c r="B4" s="32">
        <v>10</v>
      </c>
      <c r="C4" s="32">
        <v>0</v>
      </c>
      <c r="D4" s="32"/>
      <c r="E4" s="32"/>
      <c r="F4" s="32"/>
      <c r="G4" s="33"/>
      <c r="J4" s="27" t="s">
        <v>335</v>
      </c>
      <c r="K4" s="27" t="s">
        <v>347</v>
      </c>
      <c r="L4" s="27" t="s">
        <v>346</v>
      </c>
      <c r="M4" s="27" t="s">
        <v>319</v>
      </c>
      <c r="N4" s="27" t="s">
        <v>320</v>
      </c>
      <c r="O4" s="27" t="s">
        <v>348</v>
      </c>
    </row>
    <row r="5" spans="1:15" ht="15" customHeight="1" x14ac:dyDescent="0.3">
      <c r="A5" s="34"/>
      <c r="B5" s="32">
        <v>11</v>
      </c>
      <c r="C5" s="32">
        <v>0</v>
      </c>
      <c r="D5" s="32"/>
      <c r="E5" s="32"/>
      <c r="F5" s="32"/>
      <c r="G5" s="33"/>
      <c r="J5" s="27" t="s">
        <v>297</v>
      </c>
      <c r="K5" s="32">
        <f>AVERAGE(E6:E11)</f>
        <v>1.9583333333333331E-2</v>
      </c>
      <c r="L5" s="32">
        <f>AVERAGE(F6:F11)</f>
        <v>2.2916666666666669E-2</v>
      </c>
      <c r="M5" s="32">
        <f>AVERAGE(G6:G11)</f>
        <v>1.3593750000000001E-3</v>
      </c>
      <c r="N5" s="32">
        <f>SQRT(M5)</f>
        <v>3.6869703009381569E-2</v>
      </c>
      <c r="O5" s="32">
        <f>N5/AVERAGE(C6:C11)*100</f>
        <v>130.12836356252316</v>
      </c>
    </row>
    <row r="6" spans="1:15" x14ac:dyDescent="0.3">
      <c r="A6" s="34"/>
      <c r="B6" s="32">
        <v>12</v>
      </c>
      <c r="C6" s="32">
        <v>0</v>
      </c>
      <c r="D6" s="32">
        <f>AVERAGE(C2:C5)</f>
        <v>0</v>
      </c>
      <c r="E6" s="32">
        <f>C6-D6</f>
        <v>0</v>
      </c>
      <c r="F6" s="32">
        <f>ABS(E6)</f>
        <v>0</v>
      </c>
      <c r="G6" s="32">
        <f>E6^2</f>
        <v>0</v>
      </c>
      <c r="J6" s="27">
        <v>33</v>
      </c>
      <c r="K6" s="32">
        <f>AVERAGE(E16:E21)</f>
        <v>9.1249999999999998E-2</v>
      </c>
      <c r="L6" s="32">
        <f>AVERAGE(F16:F21)</f>
        <v>9.2916666666666661E-2</v>
      </c>
      <c r="M6" s="32">
        <f>AVERAGE(G16:G21)</f>
        <v>4.2663541666666666E-2</v>
      </c>
      <c r="N6" s="32">
        <f t="shared" ref="N6:N9" si="0">SQRT(M6)</f>
        <v>0.20655154723861707</v>
      </c>
      <c r="O6" s="32">
        <f>N6/AVERAGE(C16:C21)*100</f>
        <v>193.64207553620349</v>
      </c>
    </row>
    <row r="7" spans="1:15" x14ac:dyDescent="0.3">
      <c r="A7" s="34"/>
      <c r="B7" s="32">
        <v>16</v>
      </c>
      <c r="C7" s="32">
        <v>0</v>
      </c>
      <c r="D7" s="32">
        <f t="shared" ref="D7:D11" si="1">AVERAGE(C3:C6)</f>
        <v>0</v>
      </c>
      <c r="E7" s="32">
        <f t="shared" ref="E7:E11" si="2">C7-D7</f>
        <v>0</v>
      </c>
      <c r="F7" s="32">
        <f t="shared" ref="F7:F11" si="3">ABS(E7)</f>
        <v>0</v>
      </c>
      <c r="G7" s="32">
        <f t="shared" ref="G7:G11" si="4">E7^2</f>
        <v>0</v>
      </c>
      <c r="J7" s="27">
        <v>46</v>
      </c>
      <c r="K7" s="32">
        <f>AVERAGE(E26:E31)</f>
        <v>7.6666666666666661E-2</v>
      </c>
      <c r="L7" s="32">
        <f>AVERAGE(F26:F31)</f>
        <v>8.666666666666667E-2</v>
      </c>
      <c r="M7" s="32">
        <f>AVERAGE(G26:G31)</f>
        <v>2.8097916666666663E-2</v>
      </c>
      <c r="N7" s="32">
        <f t="shared" si="0"/>
        <v>0.1676243319648632</v>
      </c>
      <c r="O7" s="32">
        <f>N7/AVERAGE(C26:C31)*100</f>
        <v>141.65436504072949</v>
      </c>
    </row>
    <row r="8" spans="1:15" x14ac:dyDescent="0.3">
      <c r="A8" s="34"/>
      <c r="B8" s="32">
        <v>20</v>
      </c>
      <c r="C8" s="32">
        <v>0.04</v>
      </c>
      <c r="D8" s="32">
        <f t="shared" si="1"/>
        <v>0</v>
      </c>
      <c r="E8" s="32">
        <f t="shared" si="2"/>
        <v>0.04</v>
      </c>
      <c r="F8" s="32">
        <f t="shared" si="3"/>
        <v>0.04</v>
      </c>
      <c r="G8" s="32">
        <f t="shared" si="4"/>
        <v>1.6000000000000001E-3</v>
      </c>
      <c r="J8" s="27" t="s">
        <v>309</v>
      </c>
      <c r="K8" s="32">
        <f>AVERAGE(E36:E41)</f>
        <v>1.9999999999999997E-2</v>
      </c>
      <c r="L8" s="32">
        <f>AVERAGE(F36:F41)</f>
        <v>2.8333333333333332E-2</v>
      </c>
      <c r="M8" s="32">
        <f>AVERAGE(G36:G41)</f>
        <v>1.5770833333333331E-3</v>
      </c>
      <c r="N8" s="32">
        <f t="shared" si="0"/>
        <v>3.9712508524812846E-2</v>
      </c>
      <c r="O8" s="32">
        <f>N8/AVERAGE(C36:C41)*100</f>
        <v>95.310020459550842</v>
      </c>
    </row>
    <row r="9" spans="1:15" x14ac:dyDescent="0.3">
      <c r="A9" s="34"/>
      <c r="B9" s="32">
        <v>0</v>
      </c>
      <c r="C9" s="32">
        <v>0</v>
      </c>
      <c r="D9" s="32">
        <f t="shared" si="1"/>
        <v>0.01</v>
      </c>
      <c r="E9" s="32">
        <f t="shared" si="2"/>
        <v>-0.01</v>
      </c>
      <c r="F9" s="32">
        <f t="shared" si="3"/>
        <v>0.01</v>
      </c>
      <c r="G9" s="32">
        <f t="shared" si="4"/>
        <v>1E-4</v>
      </c>
      <c r="J9" s="27" t="s">
        <v>310</v>
      </c>
      <c r="K9" s="32">
        <f>AVERAGE(E46:E51)</f>
        <v>2.041666666666667E-2</v>
      </c>
      <c r="L9" s="32">
        <f>AVERAGE(F46:F51)</f>
        <v>2.4583333333333336E-2</v>
      </c>
      <c r="M9" s="32">
        <f>AVERAGE(G46:G51)</f>
        <v>8.5729166666666679E-4</v>
      </c>
      <c r="N9" s="32">
        <f t="shared" si="0"/>
        <v>2.9279543484601444E-2</v>
      </c>
      <c r="O9" s="32">
        <f>N9/AVERAGE(C46:C51)*100</f>
        <v>87.838630453804328</v>
      </c>
    </row>
    <row r="10" spans="1:15" x14ac:dyDescent="0.3">
      <c r="A10" s="34"/>
      <c r="B10" s="32" t="s">
        <v>312</v>
      </c>
      <c r="C10" s="32">
        <v>0.09</v>
      </c>
      <c r="D10" s="32">
        <f t="shared" si="1"/>
        <v>0.01</v>
      </c>
      <c r="E10" s="32">
        <f t="shared" si="2"/>
        <v>0.08</v>
      </c>
      <c r="F10" s="32">
        <f t="shared" si="3"/>
        <v>0.08</v>
      </c>
      <c r="G10" s="32">
        <f t="shared" si="4"/>
        <v>6.4000000000000003E-3</v>
      </c>
    </row>
    <row r="11" spans="1:15" x14ac:dyDescent="0.3">
      <c r="A11" s="35"/>
      <c r="B11" s="32" t="s">
        <v>313</v>
      </c>
      <c r="C11" s="32">
        <v>0.04</v>
      </c>
      <c r="D11" s="32">
        <f t="shared" si="1"/>
        <v>3.2500000000000001E-2</v>
      </c>
      <c r="E11" s="32">
        <f t="shared" si="2"/>
        <v>7.4999999999999997E-3</v>
      </c>
      <c r="F11" s="32">
        <f t="shared" si="3"/>
        <v>7.4999999999999997E-3</v>
      </c>
      <c r="G11" s="32">
        <f t="shared" si="4"/>
        <v>5.6249999999999998E-5</v>
      </c>
    </row>
    <row r="12" spans="1:15" x14ac:dyDescent="0.3">
      <c r="A12" s="31">
        <v>33</v>
      </c>
      <c r="B12" s="32">
        <v>8</v>
      </c>
      <c r="C12" s="32">
        <v>0.01</v>
      </c>
      <c r="D12" s="32"/>
      <c r="E12" s="32"/>
      <c r="F12" s="32"/>
      <c r="G12" s="33"/>
      <c r="K12" s="36"/>
      <c r="L12" s="36"/>
      <c r="M12" s="36"/>
      <c r="N12" s="36"/>
    </row>
    <row r="13" spans="1:15" x14ac:dyDescent="0.3">
      <c r="A13" s="34"/>
      <c r="B13" s="32">
        <v>9</v>
      </c>
      <c r="C13" s="32">
        <v>0.04</v>
      </c>
      <c r="D13" s="32"/>
      <c r="E13" s="27"/>
      <c r="F13" s="27"/>
      <c r="G13" s="27"/>
      <c r="K13" s="36"/>
      <c r="L13" s="36"/>
      <c r="M13" s="36"/>
      <c r="N13" s="36"/>
    </row>
    <row r="14" spans="1:15" x14ac:dyDescent="0.3">
      <c r="A14" s="34"/>
      <c r="B14" s="32">
        <v>10</v>
      </c>
      <c r="C14" s="32">
        <v>0.01</v>
      </c>
      <c r="D14" s="32"/>
      <c r="E14" s="27"/>
      <c r="F14" s="27"/>
      <c r="G14" s="27"/>
      <c r="K14" s="36"/>
      <c r="L14" s="36"/>
      <c r="M14" s="36"/>
      <c r="N14" s="36"/>
    </row>
    <row r="15" spans="1:15" x14ac:dyDescent="0.3">
      <c r="A15" s="34"/>
      <c r="B15" s="32">
        <v>11</v>
      </c>
      <c r="C15" s="32">
        <v>0</v>
      </c>
      <c r="D15" s="32"/>
      <c r="E15" s="27"/>
      <c r="F15" s="27"/>
      <c r="G15" s="27"/>
      <c r="K15" s="36"/>
      <c r="L15" s="36"/>
      <c r="M15" s="36"/>
      <c r="N15" s="36"/>
    </row>
    <row r="16" spans="1:15" x14ac:dyDescent="0.3">
      <c r="A16" s="34"/>
      <c r="B16" s="32">
        <v>12</v>
      </c>
      <c r="C16" s="32">
        <v>0.01</v>
      </c>
      <c r="D16" s="32">
        <f>AVERAGE(C12:C15)</f>
        <v>1.5000000000000001E-2</v>
      </c>
      <c r="E16" s="32">
        <f>C16-D16</f>
        <v>-5.000000000000001E-3</v>
      </c>
      <c r="F16" s="32">
        <f>ABS(E16)</f>
        <v>5.000000000000001E-3</v>
      </c>
      <c r="G16" s="32">
        <f>E16^2</f>
        <v>2.5000000000000011E-5</v>
      </c>
      <c r="K16" s="36"/>
      <c r="L16" s="36"/>
      <c r="M16" s="36"/>
      <c r="N16" s="36"/>
    </row>
    <row r="17" spans="1:7" x14ac:dyDescent="0.3">
      <c r="A17" s="34"/>
      <c r="B17" s="32">
        <v>16</v>
      </c>
      <c r="C17" s="32">
        <v>0.02</v>
      </c>
      <c r="D17" s="32">
        <f t="shared" ref="D17:D21" si="5">AVERAGE(C13:C16)</f>
        <v>1.5000000000000001E-2</v>
      </c>
      <c r="E17" s="32">
        <f t="shared" ref="E17:E21" si="6">C17-D17</f>
        <v>4.9999999999999992E-3</v>
      </c>
      <c r="F17" s="32">
        <f t="shared" ref="F17:F21" si="7">ABS(E17)</f>
        <v>4.9999999999999992E-3</v>
      </c>
      <c r="G17" s="32">
        <f t="shared" ref="G17:G21" si="8">E17^2</f>
        <v>2.4999999999999991E-5</v>
      </c>
    </row>
    <row r="18" spans="1:7" x14ac:dyDescent="0.3">
      <c r="A18" s="34"/>
      <c r="B18" s="32">
        <v>20</v>
      </c>
      <c r="C18" s="32">
        <v>0.01</v>
      </c>
      <c r="D18" s="32">
        <f t="shared" si="5"/>
        <v>0.01</v>
      </c>
      <c r="E18" s="32">
        <f t="shared" si="6"/>
        <v>0</v>
      </c>
      <c r="F18" s="32">
        <f t="shared" si="7"/>
        <v>0</v>
      </c>
      <c r="G18" s="32">
        <f t="shared" si="8"/>
        <v>0</v>
      </c>
    </row>
    <row r="19" spans="1:7" x14ac:dyDescent="0.3">
      <c r="A19" s="34"/>
      <c r="B19" s="32">
        <v>0</v>
      </c>
      <c r="C19" s="32">
        <v>0.03</v>
      </c>
      <c r="D19" s="32">
        <f t="shared" si="5"/>
        <v>0.01</v>
      </c>
      <c r="E19" s="32">
        <f t="shared" si="6"/>
        <v>1.9999999999999997E-2</v>
      </c>
      <c r="F19" s="32">
        <f t="shared" si="7"/>
        <v>1.9999999999999997E-2</v>
      </c>
      <c r="G19" s="32">
        <f t="shared" si="8"/>
        <v>3.9999999999999986E-4</v>
      </c>
    </row>
    <row r="20" spans="1:7" x14ac:dyDescent="0.3">
      <c r="A20" s="34"/>
      <c r="B20" s="32" t="s">
        <v>312</v>
      </c>
      <c r="C20" s="32">
        <v>0.04</v>
      </c>
      <c r="D20" s="32">
        <f t="shared" si="5"/>
        <v>1.7500000000000002E-2</v>
      </c>
      <c r="E20" s="32">
        <f t="shared" si="6"/>
        <v>2.2499999999999999E-2</v>
      </c>
      <c r="F20" s="32">
        <f t="shared" si="7"/>
        <v>2.2499999999999999E-2</v>
      </c>
      <c r="G20" s="32">
        <f t="shared" si="8"/>
        <v>5.0624999999999997E-4</v>
      </c>
    </row>
    <row r="21" spans="1:7" x14ac:dyDescent="0.3">
      <c r="A21" s="35"/>
      <c r="B21" s="32" t="s">
        <v>313</v>
      </c>
      <c r="C21" s="32">
        <v>0.53</v>
      </c>
      <c r="D21" s="32">
        <f t="shared" si="5"/>
        <v>2.5000000000000001E-2</v>
      </c>
      <c r="E21" s="32">
        <f t="shared" si="6"/>
        <v>0.505</v>
      </c>
      <c r="F21" s="32">
        <f t="shared" si="7"/>
        <v>0.505</v>
      </c>
      <c r="G21" s="32">
        <f t="shared" si="8"/>
        <v>0.255025</v>
      </c>
    </row>
    <row r="22" spans="1:7" x14ac:dyDescent="0.3">
      <c r="A22" s="31">
        <v>46</v>
      </c>
      <c r="B22" s="32">
        <v>8</v>
      </c>
      <c r="C22" s="32">
        <v>0.01</v>
      </c>
      <c r="D22" s="32"/>
      <c r="E22" s="32"/>
      <c r="F22" s="32"/>
      <c r="G22" s="33"/>
    </row>
    <row r="23" spans="1:7" x14ac:dyDescent="0.3">
      <c r="A23" s="34"/>
      <c r="B23" s="32">
        <v>9</v>
      </c>
      <c r="C23" s="32">
        <v>0.02</v>
      </c>
      <c r="D23" s="32"/>
      <c r="E23" s="27"/>
      <c r="F23" s="27"/>
      <c r="G23" s="27"/>
    </row>
    <row r="24" spans="1:7" x14ac:dyDescent="0.3">
      <c r="A24" s="34"/>
      <c r="B24" s="32">
        <v>10</v>
      </c>
      <c r="C24" s="32">
        <v>0.03</v>
      </c>
      <c r="D24" s="27"/>
      <c r="E24" s="27"/>
      <c r="F24" s="27"/>
      <c r="G24" s="27"/>
    </row>
    <row r="25" spans="1:7" x14ac:dyDescent="0.3">
      <c r="A25" s="34"/>
      <c r="B25" s="32">
        <v>11</v>
      </c>
      <c r="C25" s="32">
        <v>0.03</v>
      </c>
      <c r="D25" s="27"/>
      <c r="E25" s="27"/>
      <c r="F25" s="27"/>
      <c r="G25" s="27"/>
    </row>
    <row r="26" spans="1:7" x14ac:dyDescent="0.3">
      <c r="A26" s="34"/>
      <c r="B26" s="32">
        <v>12</v>
      </c>
      <c r="C26" s="32">
        <v>0.04</v>
      </c>
      <c r="D26" s="32">
        <f>AVERAGE(C22:C25)</f>
        <v>2.2499999999999999E-2</v>
      </c>
      <c r="E26" s="32">
        <f>C26-D26</f>
        <v>1.7500000000000002E-2</v>
      </c>
      <c r="F26" s="32">
        <f>ABS(E26)</f>
        <v>1.7500000000000002E-2</v>
      </c>
      <c r="G26" s="32">
        <f>E26^2</f>
        <v>3.0625000000000004E-4</v>
      </c>
    </row>
    <row r="27" spans="1:7" x14ac:dyDescent="0.3">
      <c r="A27" s="34"/>
      <c r="B27" s="32">
        <v>16</v>
      </c>
      <c r="C27" s="32">
        <v>0</v>
      </c>
      <c r="D27" s="32">
        <f t="shared" ref="D27:D31" si="9">AVERAGE(C23:C26)</f>
        <v>0.03</v>
      </c>
      <c r="E27" s="32">
        <f t="shared" ref="E27:E31" si="10">C27-D27</f>
        <v>-0.03</v>
      </c>
      <c r="F27" s="32">
        <f t="shared" ref="F27:F31" si="11">ABS(E27)</f>
        <v>0.03</v>
      </c>
      <c r="G27" s="32">
        <f t="shared" ref="G27:G31" si="12">E27^2</f>
        <v>8.9999999999999998E-4</v>
      </c>
    </row>
    <row r="28" spans="1:7" x14ac:dyDescent="0.3">
      <c r="A28" s="34"/>
      <c r="B28" s="32">
        <v>20</v>
      </c>
      <c r="C28" s="32">
        <v>0.03</v>
      </c>
      <c r="D28" s="32">
        <f t="shared" si="9"/>
        <v>2.5000000000000001E-2</v>
      </c>
      <c r="E28" s="32">
        <f t="shared" si="10"/>
        <v>4.9999999999999975E-3</v>
      </c>
      <c r="F28" s="32">
        <f t="shared" si="11"/>
        <v>4.9999999999999975E-3</v>
      </c>
      <c r="G28" s="32">
        <f t="shared" si="12"/>
        <v>2.4999999999999974E-5</v>
      </c>
    </row>
    <row r="29" spans="1:7" x14ac:dyDescent="0.3">
      <c r="A29" s="34"/>
      <c r="B29" s="32">
        <v>0</v>
      </c>
      <c r="C29" s="32">
        <v>0.03</v>
      </c>
      <c r="D29" s="32">
        <f t="shared" si="9"/>
        <v>2.5000000000000001E-2</v>
      </c>
      <c r="E29" s="32">
        <f t="shared" si="10"/>
        <v>4.9999999999999975E-3</v>
      </c>
      <c r="F29" s="32">
        <f t="shared" si="11"/>
        <v>4.9999999999999975E-3</v>
      </c>
      <c r="G29" s="32">
        <f t="shared" si="12"/>
        <v>2.4999999999999974E-5</v>
      </c>
    </row>
    <row r="30" spans="1:7" x14ac:dyDescent="0.3">
      <c r="A30" s="34"/>
      <c r="B30" s="32" t="s">
        <v>312</v>
      </c>
      <c r="C30" s="32">
        <v>0.43</v>
      </c>
      <c r="D30" s="32">
        <f t="shared" si="9"/>
        <v>2.5000000000000001E-2</v>
      </c>
      <c r="E30" s="32">
        <f t="shared" si="10"/>
        <v>0.40499999999999997</v>
      </c>
      <c r="F30" s="32">
        <f t="shared" si="11"/>
        <v>0.40499999999999997</v>
      </c>
      <c r="G30" s="32">
        <f t="shared" si="12"/>
        <v>0.16402499999999998</v>
      </c>
    </row>
    <row r="31" spans="1:7" x14ac:dyDescent="0.3">
      <c r="A31" s="35"/>
      <c r="B31" s="32" t="s">
        <v>313</v>
      </c>
      <c r="C31" s="32">
        <v>0.18</v>
      </c>
      <c r="D31" s="32">
        <f t="shared" si="9"/>
        <v>0.1225</v>
      </c>
      <c r="E31" s="32">
        <f t="shared" si="10"/>
        <v>5.7499999999999996E-2</v>
      </c>
      <c r="F31" s="32">
        <f t="shared" si="11"/>
        <v>5.7499999999999996E-2</v>
      </c>
      <c r="G31" s="32">
        <f t="shared" si="12"/>
        <v>3.3062499999999993E-3</v>
      </c>
    </row>
    <row r="32" spans="1:7" x14ac:dyDescent="0.3">
      <c r="A32" s="31" t="s">
        <v>309</v>
      </c>
      <c r="B32" s="32">
        <v>8</v>
      </c>
      <c r="C32" s="32">
        <v>0.03</v>
      </c>
      <c r="D32" s="32"/>
      <c r="E32" s="32"/>
      <c r="F32" s="32"/>
      <c r="G32" s="33"/>
    </row>
    <row r="33" spans="1:7" x14ac:dyDescent="0.3">
      <c r="A33" s="34"/>
      <c r="B33" s="32">
        <v>9</v>
      </c>
      <c r="C33" s="32">
        <v>0.03</v>
      </c>
      <c r="D33" s="27"/>
      <c r="E33" s="27"/>
      <c r="F33" s="27"/>
      <c r="G33" s="27"/>
    </row>
    <row r="34" spans="1:7" x14ac:dyDescent="0.3">
      <c r="A34" s="34"/>
      <c r="B34" s="32">
        <v>10</v>
      </c>
      <c r="C34" s="32">
        <v>0.02</v>
      </c>
      <c r="D34" s="27"/>
      <c r="E34" s="27"/>
      <c r="F34" s="27"/>
      <c r="G34" s="27"/>
    </row>
    <row r="35" spans="1:7" x14ac:dyDescent="0.3">
      <c r="A35" s="34"/>
      <c r="B35" s="32">
        <v>11</v>
      </c>
      <c r="C35" s="32">
        <v>0.01</v>
      </c>
      <c r="D35" s="27"/>
      <c r="E35" s="27"/>
      <c r="F35" s="27"/>
      <c r="G35" s="27"/>
    </row>
    <row r="36" spans="1:7" x14ac:dyDescent="0.3">
      <c r="A36" s="34"/>
      <c r="B36" s="32">
        <v>12</v>
      </c>
      <c r="C36" s="32">
        <v>0.04</v>
      </c>
      <c r="D36" s="32">
        <f>AVERAGE(C32:C35)</f>
        <v>2.2499999999999999E-2</v>
      </c>
      <c r="E36" s="32">
        <f>C36-D36</f>
        <v>1.7500000000000002E-2</v>
      </c>
      <c r="F36" s="32">
        <f>ABS(E36)</f>
        <v>1.7500000000000002E-2</v>
      </c>
      <c r="G36" s="32">
        <f>E36^2</f>
        <v>3.0625000000000004E-4</v>
      </c>
    </row>
    <row r="37" spans="1:7" x14ac:dyDescent="0.3">
      <c r="A37" s="34"/>
      <c r="B37" s="32">
        <v>16</v>
      </c>
      <c r="C37" s="32">
        <v>0.01</v>
      </c>
      <c r="D37" s="32">
        <f t="shared" ref="D37:D41" si="13">AVERAGE(C33:C36)</f>
        <v>2.5000000000000001E-2</v>
      </c>
      <c r="E37" s="32">
        <f t="shared" ref="E37:E41" si="14">C37-D37</f>
        <v>-1.5000000000000001E-2</v>
      </c>
      <c r="F37" s="32">
        <f t="shared" ref="F37:F41" si="15">ABS(E37)</f>
        <v>1.5000000000000001E-2</v>
      </c>
      <c r="G37" s="32">
        <f t="shared" ref="G37:G41" si="16">E37^2</f>
        <v>2.2500000000000005E-4</v>
      </c>
    </row>
    <row r="38" spans="1:7" x14ac:dyDescent="0.3">
      <c r="A38" s="34"/>
      <c r="B38" s="32">
        <v>20</v>
      </c>
      <c r="C38" s="32">
        <v>0.01</v>
      </c>
      <c r="D38" s="32">
        <f t="shared" si="13"/>
        <v>0.02</v>
      </c>
      <c r="E38" s="32">
        <f t="shared" si="14"/>
        <v>-0.01</v>
      </c>
      <c r="F38" s="32">
        <f t="shared" si="15"/>
        <v>0.01</v>
      </c>
      <c r="G38" s="32">
        <f t="shared" si="16"/>
        <v>1E-4</v>
      </c>
    </row>
    <row r="39" spans="1:7" x14ac:dyDescent="0.3">
      <c r="A39" s="34"/>
      <c r="B39" s="32">
        <v>0</v>
      </c>
      <c r="C39" s="32">
        <v>0.02</v>
      </c>
      <c r="D39" s="32">
        <f t="shared" si="13"/>
        <v>1.7500000000000002E-2</v>
      </c>
      <c r="E39" s="32">
        <f t="shared" si="14"/>
        <v>2.4999999999999988E-3</v>
      </c>
      <c r="F39" s="32">
        <f t="shared" si="15"/>
        <v>2.4999999999999988E-3</v>
      </c>
      <c r="G39" s="32">
        <f t="shared" si="16"/>
        <v>6.2499999999999935E-6</v>
      </c>
    </row>
    <row r="40" spans="1:7" x14ac:dyDescent="0.3">
      <c r="A40" s="34"/>
      <c r="B40" s="32" t="s">
        <v>312</v>
      </c>
      <c r="C40" s="32">
        <v>0.06</v>
      </c>
      <c r="D40" s="32">
        <f t="shared" si="13"/>
        <v>0.02</v>
      </c>
      <c r="E40" s="32">
        <f t="shared" si="14"/>
        <v>3.9999999999999994E-2</v>
      </c>
      <c r="F40" s="32">
        <f t="shared" si="15"/>
        <v>3.9999999999999994E-2</v>
      </c>
      <c r="G40" s="32">
        <f t="shared" si="16"/>
        <v>1.5999999999999994E-3</v>
      </c>
    </row>
    <row r="41" spans="1:7" x14ac:dyDescent="0.3">
      <c r="A41" s="35"/>
      <c r="B41" s="32" t="s">
        <v>313</v>
      </c>
      <c r="C41" s="32">
        <v>0.11</v>
      </c>
      <c r="D41" s="32">
        <f t="shared" si="13"/>
        <v>2.5000000000000001E-2</v>
      </c>
      <c r="E41" s="32">
        <f t="shared" si="14"/>
        <v>8.4999999999999992E-2</v>
      </c>
      <c r="F41" s="32">
        <f t="shared" si="15"/>
        <v>8.4999999999999992E-2</v>
      </c>
      <c r="G41" s="32">
        <f t="shared" si="16"/>
        <v>7.2249999999999988E-3</v>
      </c>
    </row>
    <row r="42" spans="1:7" x14ac:dyDescent="0.3">
      <c r="A42" s="31" t="s">
        <v>310</v>
      </c>
      <c r="B42" s="32">
        <v>8</v>
      </c>
      <c r="C42" s="32">
        <v>0.04</v>
      </c>
      <c r="D42" s="32"/>
      <c r="E42" s="32"/>
      <c r="F42" s="32"/>
      <c r="G42" s="33"/>
    </row>
    <row r="43" spans="1:7" x14ac:dyDescent="0.3">
      <c r="A43" s="34"/>
      <c r="B43" s="32">
        <v>9</v>
      </c>
      <c r="C43" s="32">
        <v>0</v>
      </c>
      <c r="E43" s="27"/>
      <c r="F43" s="27"/>
      <c r="G43" s="27"/>
    </row>
    <row r="44" spans="1:7" x14ac:dyDescent="0.3">
      <c r="A44" s="34"/>
      <c r="B44" s="32">
        <v>10</v>
      </c>
      <c r="C44" s="32">
        <v>0.01</v>
      </c>
      <c r="D44" s="27"/>
      <c r="E44" s="27"/>
      <c r="F44" s="27"/>
      <c r="G44" s="27"/>
    </row>
    <row r="45" spans="1:7" x14ac:dyDescent="0.3">
      <c r="A45" s="34"/>
      <c r="B45" s="32">
        <v>11</v>
      </c>
      <c r="C45" s="32">
        <v>0</v>
      </c>
      <c r="D45" s="27"/>
      <c r="E45" s="27"/>
      <c r="F45" s="27"/>
      <c r="G45" s="27"/>
    </row>
    <row r="46" spans="1:7" x14ac:dyDescent="0.3">
      <c r="A46" s="34"/>
      <c r="B46" s="32">
        <v>12</v>
      </c>
      <c r="C46" s="32">
        <v>0</v>
      </c>
      <c r="D46" s="32">
        <f>AVERAGE(C42:C45)</f>
        <v>1.2500000000000001E-2</v>
      </c>
      <c r="E46" s="32">
        <f>C46-D46</f>
        <v>-1.2500000000000001E-2</v>
      </c>
      <c r="F46" s="32">
        <f>ABS(E46)</f>
        <v>1.2500000000000001E-2</v>
      </c>
      <c r="G46" s="32">
        <f>E46^2</f>
        <v>1.5625000000000003E-4</v>
      </c>
    </row>
    <row r="47" spans="1:7" x14ac:dyDescent="0.3">
      <c r="A47" s="34"/>
      <c r="B47" s="32">
        <v>16</v>
      </c>
      <c r="C47" s="32">
        <v>0.01</v>
      </c>
      <c r="D47" s="32">
        <f t="shared" ref="D47:D51" si="17">AVERAGE(C43:C46)</f>
        <v>2.5000000000000001E-3</v>
      </c>
      <c r="E47" s="32">
        <f t="shared" ref="E47:E51" si="18">C47-D47</f>
        <v>7.4999999999999997E-3</v>
      </c>
      <c r="F47" s="32">
        <f t="shared" ref="F47:F51" si="19">ABS(E47)</f>
        <v>7.4999999999999997E-3</v>
      </c>
      <c r="G47" s="32">
        <f t="shared" ref="G47:G51" si="20">E47^2</f>
        <v>5.6249999999999998E-5</v>
      </c>
    </row>
    <row r="48" spans="1:7" x14ac:dyDescent="0.3">
      <c r="A48" s="34"/>
      <c r="B48" s="32">
        <v>20</v>
      </c>
      <c r="C48" s="32">
        <v>0.02</v>
      </c>
      <c r="D48" s="32">
        <f t="shared" si="17"/>
        <v>5.0000000000000001E-3</v>
      </c>
      <c r="E48" s="32">
        <f t="shared" si="18"/>
        <v>1.4999999999999999E-2</v>
      </c>
      <c r="F48" s="32">
        <f t="shared" si="19"/>
        <v>1.4999999999999999E-2</v>
      </c>
      <c r="G48" s="32">
        <f t="shared" si="20"/>
        <v>2.2499999999999999E-4</v>
      </c>
    </row>
    <row r="49" spans="1:7" x14ac:dyDescent="0.3">
      <c r="A49" s="34"/>
      <c r="B49" s="32">
        <v>0</v>
      </c>
      <c r="C49" s="32">
        <v>0.05</v>
      </c>
      <c r="D49" s="32">
        <f t="shared" si="17"/>
        <v>7.4999999999999997E-3</v>
      </c>
      <c r="E49" s="32">
        <f t="shared" si="18"/>
        <v>4.2500000000000003E-2</v>
      </c>
      <c r="F49" s="32">
        <f t="shared" si="19"/>
        <v>4.2500000000000003E-2</v>
      </c>
      <c r="G49" s="32">
        <f t="shared" si="20"/>
        <v>1.8062500000000003E-3</v>
      </c>
    </row>
    <row r="50" spans="1:7" x14ac:dyDescent="0.3">
      <c r="A50" s="34"/>
      <c r="B50" s="32" t="s">
        <v>312</v>
      </c>
      <c r="C50" s="32">
        <v>0.04</v>
      </c>
      <c r="D50" s="32">
        <f t="shared" si="17"/>
        <v>0.02</v>
      </c>
      <c r="E50" s="32">
        <f t="shared" si="18"/>
        <v>0.02</v>
      </c>
      <c r="F50" s="32">
        <f t="shared" si="19"/>
        <v>0.02</v>
      </c>
      <c r="G50" s="32">
        <f t="shared" si="20"/>
        <v>4.0000000000000002E-4</v>
      </c>
    </row>
    <row r="51" spans="1:7" x14ac:dyDescent="0.3">
      <c r="A51" s="35"/>
      <c r="B51" s="32" t="s">
        <v>313</v>
      </c>
      <c r="C51" s="32">
        <v>0.08</v>
      </c>
      <c r="D51" s="32">
        <f t="shared" si="17"/>
        <v>0.03</v>
      </c>
      <c r="E51" s="32">
        <f t="shared" si="18"/>
        <v>0.05</v>
      </c>
      <c r="F51" s="32">
        <f t="shared" si="19"/>
        <v>0.05</v>
      </c>
      <c r="G51" s="32">
        <f t="shared" si="20"/>
        <v>2.5000000000000005E-3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  <ignoredErrors>
    <ignoredError sqref="D26:D30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F6A5-8223-4BE3-BD0B-0FAC81E23730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44140625" style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299</v>
      </c>
      <c r="D1" s="10" t="s">
        <v>329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3">
        <v>0</v>
      </c>
      <c r="D2" s="3"/>
      <c r="E2" s="3"/>
      <c r="F2" s="3"/>
      <c r="G2" s="12"/>
    </row>
    <row r="3" spans="1:15" x14ac:dyDescent="0.3">
      <c r="A3" s="22"/>
      <c r="B3" s="3">
        <v>9</v>
      </c>
      <c r="C3" s="3">
        <v>0</v>
      </c>
      <c r="D3" s="3"/>
      <c r="E3" s="3"/>
      <c r="F3" s="3"/>
      <c r="G3" s="12"/>
    </row>
    <row r="4" spans="1:15" x14ac:dyDescent="0.3">
      <c r="A4" s="22"/>
      <c r="B4" s="3">
        <v>10</v>
      </c>
      <c r="C4" s="3">
        <v>0.01</v>
      </c>
      <c r="D4" s="3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3">
        <v>0</v>
      </c>
      <c r="D5" s="3"/>
      <c r="E5" s="3"/>
      <c r="F5" s="3"/>
      <c r="G5" s="12"/>
      <c r="J5" s="2" t="s">
        <v>297</v>
      </c>
      <c r="K5" s="3">
        <f>AVERAGE(E6:E11)</f>
        <v>-1.25E-3</v>
      </c>
      <c r="L5" s="3">
        <f>AVERAGE(F6:F11)</f>
        <v>1.25E-3</v>
      </c>
      <c r="M5" s="3">
        <f>AVERAGE(G6:G11)</f>
        <v>3.1250000000000001E-6</v>
      </c>
      <c r="N5" s="3">
        <f>SQRT(M5)</f>
        <v>1.7677669529663688E-3</v>
      </c>
      <c r="O5" s="3" t="e">
        <f>N5/AVERAGE(C6:C11)*100</f>
        <v>#DIV/0!</v>
      </c>
    </row>
    <row r="6" spans="1:15" x14ac:dyDescent="0.3">
      <c r="A6" s="22"/>
      <c r="B6" s="3">
        <v>12</v>
      </c>
      <c r="C6" s="3">
        <v>0</v>
      </c>
      <c r="D6" s="3">
        <f>AVERAGE(C2:C5)</f>
        <v>2.5000000000000001E-3</v>
      </c>
      <c r="E6" s="3">
        <f>C6-D6</f>
        <v>-2.5000000000000001E-3</v>
      </c>
      <c r="F6" s="3">
        <f>ABS(E6)</f>
        <v>2.5000000000000001E-3</v>
      </c>
      <c r="G6" s="3">
        <f>E6^2</f>
        <v>6.2500000000000003E-6</v>
      </c>
      <c r="J6" s="2">
        <v>33</v>
      </c>
      <c r="K6" s="3">
        <f>AVERAGE(E16:E21)</f>
        <v>5.8333333333333336E-3</v>
      </c>
      <c r="L6" s="3">
        <f>AVERAGE(F16:F21)</f>
        <v>6.666666666666668E-3</v>
      </c>
      <c r="M6" s="3">
        <f>AVERAGE(G16:G21)</f>
        <v>5.4166666666666671E-5</v>
      </c>
      <c r="N6" s="3">
        <f t="shared" ref="N6:N9" si="0">SQRT(M6)</f>
        <v>7.359800721939873E-3</v>
      </c>
      <c r="O6" s="3">
        <f>N6/AVERAGE(C16:C21)*100</f>
        <v>49.065338146265816</v>
      </c>
    </row>
    <row r="7" spans="1:15" x14ac:dyDescent="0.3">
      <c r="A7" s="22"/>
      <c r="B7" s="3">
        <v>16</v>
      </c>
      <c r="C7" s="3">
        <v>0</v>
      </c>
      <c r="D7" s="3">
        <f t="shared" ref="D7:D11" si="1">AVERAGE(C3:C6)</f>
        <v>2.5000000000000001E-3</v>
      </c>
      <c r="E7" s="3">
        <f t="shared" ref="E7:E11" si="2">C7-D7</f>
        <v>-2.5000000000000001E-3</v>
      </c>
      <c r="F7" s="3">
        <f t="shared" ref="F7:F11" si="3">ABS(E7)</f>
        <v>2.5000000000000001E-3</v>
      </c>
      <c r="G7" s="3">
        <f t="shared" ref="G7:G11" si="4">E7^2</f>
        <v>6.2500000000000003E-6</v>
      </c>
      <c r="J7" s="2">
        <v>46</v>
      </c>
      <c r="K7" s="3">
        <f>AVERAGE(E26:E31)</f>
        <v>7.083333333333333E-3</v>
      </c>
      <c r="L7" s="3">
        <f>AVERAGE(F26:F31)</f>
        <v>7.9166666666666673E-3</v>
      </c>
      <c r="M7" s="3">
        <f>AVERAGE(G26:G31)</f>
        <v>9.0624999999999994E-5</v>
      </c>
      <c r="N7" s="3">
        <f t="shared" si="0"/>
        <v>9.5197163823298857E-3</v>
      </c>
      <c r="O7" s="3">
        <f>N7/AVERAGE(C26:C31)*100</f>
        <v>57.118298293979322</v>
      </c>
    </row>
    <row r="8" spans="1:15" x14ac:dyDescent="0.3">
      <c r="A8" s="22"/>
      <c r="B8" s="3">
        <v>20</v>
      </c>
      <c r="C8" s="3">
        <v>0</v>
      </c>
      <c r="D8" s="3">
        <f t="shared" si="1"/>
        <v>2.5000000000000001E-3</v>
      </c>
      <c r="E8" s="3">
        <f t="shared" si="2"/>
        <v>-2.5000000000000001E-3</v>
      </c>
      <c r="F8" s="3">
        <f t="shared" si="3"/>
        <v>2.5000000000000001E-3</v>
      </c>
      <c r="G8" s="3">
        <f t="shared" si="4"/>
        <v>6.2500000000000003E-6</v>
      </c>
      <c r="J8" s="2" t="s">
        <v>309</v>
      </c>
      <c r="K8" s="3">
        <f>AVERAGE(E36:E41)</f>
        <v>6.6666666666666654E-3</v>
      </c>
      <c r="L8" s="3">
        <f>AVERAGE(F36:F41)</f>
        <v>6.6666666666666654E-3</v>
      </c>
      <c r="M8" s="3">
        <f>AVERAGE(G36:G41)</f>
        <v>6.8750000000000004E-5</v>
      </c>
      <c r="N8" s="3">
        <f t="shared" si="0"/>
        <v>8.2915619758884996E-3</v>
      </c>
      <c r="O8" s="3">
        <f>N8/AVERAGE(C36:C41)*100</f>
        <v>45.226701686664533</v>
      </c>
    </row>
    <row r="9" spans="1:15" x14ac:dyDescent="0.3">
      <c r="A9" s="22"/>
      <c r="B9" s="3">
        <v>0</v>
      </c>
      <c r="C9" s="3">
        <v>0</v>
      </c>
      <c r="D9" s="3">
        <f t="shared" si="1"/>
        <v>0</v>
      </c>
      <c r="E9" s="3">
        <f t="shared" si="2"/>
        <v>0</v>
      </c>
      <c r="F9" s="3">
        <f t="shared" si="3"/>
        <v>0</v>
      </c>
      <c r="G9" s="3">
        <f t="shared" si="4"/>
        <v>0</v>
      </c>
      <c r="J9" s="2" t="s">
        <v>310</v>
      </c>
      <c r="K9" s="3">
        <f>AVERAGE(E46:E51)</f>
        <v>2.9166666666666664E-3</v>
      </c>
      <c r="L9" s="3">
        <f>AVERAGE(F46:F51)</f>
        <v>9.5833333333333343E-3</v>
      </c>
      <c r="M9" s="3">
        <f>AVERAGE(G46:G51)</f>
        <v>1.1354166666666667E-4</v>
      </c>
      <c r="N9" s="3">
        <f t="shared" si="0"/>
        <v>1.0655593210453685E-2</v>
      </c>
      <c r="O9" s="3">
        <f>N9/AVERAGE(C46:C51)*100</f>
        <v>106.55593210453685</v>
      </c>
    </row>
    <row r="10" spans="1:15" x14ac:dyDescent="0.3">
      <c r="A10" s="22"/>
      <c r="B10" s="3" t="s">
        <v>312</v>
      </c>
      <c r="C10" s="3">
        <v>0</v>
      </c>
      <c r="D10" s="3">
        <f t="shared" si="1"/>
        <v>0</v>
      </c>
      <c r="E10" s="3">
        <f t="shared" si="2"/>
        <v>0</v>
      </c>
      <c r="F10" s="3">
        <f t="shared" si="3"/>
        <v>0</v>
      </c>
      <c r="G10" s="3">
        <f t="shared" si="4"/>
        <v>0</v>
      </c>
    </row>
    <row r="11" spans="1:15" x14ac:dyDescent="0.3">
      <c r="A11" s="23"/>
      <c r="B11" s="3" t="s">
        <v>313</v>
      </c>
      <c r="C11" s="3">
        <v>0</v>
      </c>
      <c r="D11" s="3">
        <f t="shared" si="1"/>
        <v>0</v>
      </c>
      <c r="E11" s="3">
        <f t="shared" si="2"/>
        <v>0</v>
      </c>
      <c r="F11" s="3">
        <f t="shared" si="3"/>
        <v>0</v>
      </c>
      <c r="G11" s="3">
        <f t="shared" si="4"/>
        <v>0</v>
      </c>
    </row>
    <row r="12" spans="1:15" x14ac:dyDescent="0.3">
      <c r="A12" s="21">
        <v>33</v>
      </c>
      <c r="B12" s="9">
        <v>8</v>
      </c>
      <c r="C12" s="3">
        <v>0</v>
      </c>
      <c r="D12" s="3"/>
      <c r="E12" s="3"/>
      <c r="F12" s="3"/>
      <c r="G12" s="12"/>
      <c r="K12" s="4"/>
      <c r="L12" s="4"/>
      <c r="M12" s="4"/>
      <c r="N12" s="4"/>
    </row>
    <row r="13" spans="1:15" x14ac:dyDescent="0.3">
      <c r="A13" s="22"/>
      <c r="B13" s="3">
        <v>9</v>
      </c>
      <c r="C13" s="3">
        <v>0</v>
      </c>
      <c r="D13" s="3"/>
      <c r="E13" s="2"/>
      <c r="F13" s="2"/>
      <c r="G13" s="2"/>
      <c r="K13" s="4"/>
      <c r="L13" s="4"/>
      <c r="M13" s="4"/>
      <c r="N13" s="4"/>
    </row>
    <row r="14" spans="1:15" x14ac:dyDescent="0.3">
      <c r="A14" s="22"/>
      <c r="B14" s="3">
        <v>10</v>
      </c>
      <c r="C14" s="3">
        <v>0</v>
      </c>
      <c r="D14" s="3"/>
      <c r="E14" s="2"/>
      <c r="F14" s="2"/>
      <c r="G14" s="2"/>
      <c r="K14" s="4"/>
      <c r="L14" s="4"/>
      <c r="M14" s="4"/>
      <c r="N14" s="4"/>
    </row>
    <row r="15" spans="1:15" x14ac:dyDescent="0.3">
      <c r="A15" s="22"/>
      <c r="B15" s="3">
        <v>11</v>
      </c>
      <c r="C15" s="3">
        <v>0.01</v>
      </c>
      <c r="D15" s="3"/>
      <c r="E15" s="2"/>
      <c r="F15" s="2"/>
      <c r="G15" s="2"/>
      <c r="K15" s="4"/>
      <c r="L15" s="4"/>
      <c r="M15" s="4"/>
      <c r="N15" s="4"/>
    </row>
    <row r="16" spans="1:15" x14ac:dyDescent="0.3">
      <c r="A16" s="22"/>
      <c r="B16" s="3">
        <v>12</v>
      </c>
      <c r="C16" s="3">
        <v>0.01</v>
      </c>
      <c r="D16" s="3">
        <f>AVERAGE(C12:C15)</f>
        <v>2.5000000000000001E-3</v>
      </c>
      <c r="E16" s="3">
        <f>C16-D16</f>
        <v>7.4999999999999997E-3</v>
      </c>
      <c r="F16" s="3">
        <f>ABS(E16)</f>
        <v>7.4999999999999997E-3</v>
      </c>
      <c r="G16" s="3">
        <f>E16^2</f>
        <v>5.6249999999999998E-5</v>
      </c>
      <c r="K16" s="4"/>
      <c r="L16" s="4"/>
      <c r="M16" s="4"/>
      <c r="N16" s="4"/>
    </row>
    <row r="17" spans="1:7" x14ac:dyDescent="0.3">
      <c r="A17" s="22"/>
      <c r="B17" s="3">
        <v>16</v>
      </c>
      <c r="C17" s="3">
        <v>0.01</v>
      </c>
      <c r="D17" s="3">
        <f t="shared" ref="D17:D21" si="5">AVERAGE(C13:C16)</f>
        <v>5.0000000000000001E-3</v>
      </c>
      <c r="E17" s="3">
        <f t="shared" ref="E17:E21" si="6">C17-D17</f>
        <v>5.0000000000000001E-3</v>
      </c>
      <c r="F17" s="3">
        <f t="shared" ref="F17:F21" si="7">ABS(E17)</f>
        <v>5.0000000000000001E-3</v>
      </c>
      <c r="G17" s="3">
        <f t="shared" ref="G17:G21" si="8">E17^2</f>
        <v>2.5000000000000001E-5</v>
      </c>
    </row>
    <row r="18" spans="1:7" x14ac:dyDescent="0.3">
      <c r="A18" s="22"/>
      <c r="B18" s="3">
        <v>20</v>
      </c>
      <c r="C18" s="3">
        <v>0.02</v>
      </c>
      <c r="D18" s="3">
        <f t="shared" si="5"/>
        <v>7.4999999999999997E-3</v>
      </c>
      <c r="E18" s="3">
        <f t="shared" si="6"/>
        <v>1.2500000000000001E-2</v>
      </c>
      <c r="F18" s="3">
        <f t="shared" si="7"/>
        <v>1.2500000000000001E-2</v>
      </c>
      <c r="G18" s="3">
        <f t="shared" si="8"/>
        <v>1.5625000000000003E-4</v>
      </c>
    </row>
    <row r="19" spans="1:7" x14ac:dyDescent="0.3">
      <c r="A19" s="22"/>
      <c r="B19" s="3">
        <v>0</v>
      </c>
      <c r="C19" s="3">
        <v>0.01</v>
      </c>
      <c r="D19" s="3">
        <f t="shared" si="5"/>
        <v>1.2500000000000001E-2</v>
      </c>
      <c r="E19" s="3">
        <f t="shared" si="6"/>
        <v>-2.5000000000000005E-3</v>
      </c>
      <c r="F19" s="3">
        <f t="shared" si="7"/>
        <v>2.5000000000000005E-3</v>
      </c>
      <c r="G19" s="3">
        <f t="shared" si="8"/>
        <v>6.2500000000000028E-6</v>
      </c>
    </row>
    <row r="20" spans="1:7" x14ac:dyDescent="0.3">
      <c r="A20" s="22"/>
      <c r="B20" s="3" t="s">
        <v>312</v>
      </c>
      <c r="C20" s="3">
        <v>0.02</v>
      </c>
      <c r="D20" s="3">
        <f t="shared" si="5"/>
        <v>1.2500000000000001E-2</v>
      </c>
      <c r="E20" s="3">
        <f t="shared" si="6"/>
        <v>7.4999999999999997E-3</v>
      </c>
      <c r="F20" s="3">
        <f t="shared" si="7"/>
        <v>7.4999999999999997E-3</v>
      </c>
      <c r="G20" s="3">
        <f t="shared" si="8"/>
        <v>5.6249999999999998E-5</v>
      </c>
    </row>
    <row r="21" spans="1:7" x14ac:dyDescent="0.3">
      <c r="A21" s="23"/>
      <c r="B21" s="3" t="s">
        <v>313</v>
      </c>
      <c r="C21" s="3">
        <v>0.02</v>
      </c>
      <c r="D21" s="3">
        <f t="shared" si="5"/>
        <v>1.4999999999999999E-2</v>
      </c>
      <c r="E21" s="3">
        <f t="shared" si="6"/>
        <v>5.000000000000001E-3</v>
      </c>
      <c r="F21" s="3">
        <f t="shared" si="7"/>
        <v>5.000000000000001E-3</v>
      </c>
      <c r="G21" s="3">
        <f t="shared" si="8"/>
        <v>2.5000000000000011E-5</v>
      </c>
    </row>
    <row r="22" spans="1:7" x14ac:dyDescent="0.3">
      <c r="A22" s="21">
        <v>46</v>
      </c>
      <c r="B22" s="9">
        <v>8</v>
      </c>
      <c r="C22" s="3">
        <v>0.01</v>
      </c>
      <c r="D22" s="3"/>
      <c r="E22" s="3"/>
      <c r="F22" s="3"/>
      <c r="G22" s="12"/>
    </row>
    <row r="23" spans="1:7" x14ac:dyDescent="0.3">
      <c r="A23" s="22"/>
      <c r="B23" s="3">
        <v>9</v>
      </c>
      <c r="C23" s="3">
        <v>0</v>
      </c>
      <c r="D23" s="3"/>
      <c r="E23" s="2"/>
      <c r="F23" s="2"/>
      <c r="G23" s="2"/>
    </row>
    <row r="24" spans="1:7" x14ac:dyDescent="0.3">
      <c r="A24" s="22"/>
      <c r="B24" s="3">
        <v>10</v>
      </c>
      <c r="C24" s="3">
        <v>0</v>
      </c>
      <c r="D24" s="2"/>
      <c r="E24" s="2"/>
      <c r="F24" s="2"/>
      <c r="G24" s="2"/>
    </row>
    <row r="25" spans="1:7" x14ac:dyDescent="0.3">
      <c r="A25" s="22"/>
      <c r="B25" s="3">
        <v>11</v>
      </c>
      <c r="C25" s="3">
        <v>0</v>
      </c>
      <c r="D25" s="2"/>
      <c r="E25" s="2"/>
      <c r="F25" s="2"/>
      <c r="G25" s="2"/>
    </row>
    <row r="26" spans="1:7" x14ac:dyDescent="0.3">
      <c r="A26" s="22"/>
      <c r="B26" s="3">
        <v>12</v>
      </c>
      <c r="C26" s="3">
        <v>0.02</v>
      </c>
      <c r="D26" s="3">
        <f>AVERAGE(C22:C25)</f>
        <v>2.5000000000000001E-3</v>
      </c>
      <c r="E26" s="3">
        <f>C26-D26</f>
        <v>1.7500000000000002E-2</v>
      </c>
      <c r="F26" s="3">
        <f>ABS(E26)</f>
        <v>1.7500000000000002E-2</v>
      </c>
      <c r="G26" s="3">
        <f>E26^2</f>
        <v>3.0625000000000004E-4</v>
      </c>
    </row>
    <row r="27" spans="1:7" x14ac:dyDescent="0.3">
      <c r="A27" s="22"/>
      <c r="B27" s="3">
        <v>16</v>
      </c>
      <c r="C27" s="3">
        <v>0.01</v>
      </c>
      <c r="D27" s="3">
        <f t="shared" ref="D27:D31" si="9">AVERAGE(C23:C26)</f>
        <v>5.0000000000000001E-3</v>
      </c>
      <c r="E27" s="3">
        <f t="shared" ref="E27:E31" si="10">C27-D27</f>
        <v>5.0000000000000001E-3</v>
      </c>
      <c r="F27" s="3">
        <f t="shared" ref="F27:F31" si="11">ABS(E27)</f>
        <v>5.0000000000000001E-3</v>
      </c>
      <c r="G27" s="3">
        <f t="shared" ref="G27:G31" si="12">E27^2</f>
        <v>2.5000000000000001E-5</v>
      </c>
    </row>
    <row r="28" spans="1:7" x14ac:dyDescent="0.3">
      <c r="A28" s="22"/>
      <c r="B28" s="3">
        <v>20</v>
      </c>
      <c r="C28" s="3">
        <v>0.02</v>
      </c>
      <c r="D28" s="3">
        <f t="shared" si="9"/>
        <v>7.4999999999999997E-3</v>
      </c>
      <c r="E28" s="3">
        <f t="shared" si="10"/>
        <v>1.2500000000000001E-2</v>
      </c>
      <c r="F28" s="3">
        <f t="shared" si="11"/>
        <v>1.2500000000000001E-2</v>
      </c>
      <c r="G28" s="3">
        <f t="shared" si="12"/>
        <v>1.5625000000000003E-4</v>
      </c>
    </row>
    <row r="29" spans="1:7" x14ac:dyDescent="0.3">
      <c r="A29" s="22"/>
      <c r="B29" s="3">
        <v>0</v>
      </c>
      <c r="C29" s="3">
        <v>0.01</v>
      </c>
      <c r="D29" s="3">
        <f t="shared" si="9"/>
        <v>1.2500000000000001E-2</v>
      </c>
      <c r="E29" s="3">
        <f t="shared" si="10"/>
        <v>-2.5000000000000005E-3</v>
      </c>
      <c r="F29" s="3">
        <f t="shared" si="11"/>
        <v>2.5000000000000005E-3</v>
      </c>
      <c r="G29" s="3">
        <f t="shared" si="12"/>
        <v>6.2500000000000028E-6</v>
      </c>
    </row>
    <row r="30" spans="1:7" x14ac:dyDescent="0.3">
      <c r="A30" s="22"/>
      <c r="B30" s="3" t="s">
        <v>312</v>
      </c>
      <c r="C30" s="3">
        <v>0.02</v>
      </c>
      <c r="D30" s="3">
        <f t="shared" si="9"/>
        <v>1.5000000000000001E-2</v>
      </c>
      <c r="E30" s="3">
        <f t="shared" si="10"/>
        <v>4.9999999999999992E-3</v>
      </c>
      <c r="F30" s="3">
        <f t="shared" si="11"/>
        <v>4.9999999999999992E-3</v>
      </c>
      <c r="G30" s="3">
        <f t="shared" si="12"/>
        <v>2.4999999999999991E-5</v>
      </c>
    </row>
    <row r="31" spans="1:7" x14ac:dyDescent="0.3">
      <c r="A31" s="23"/>
      <c r="B31" s="3" t="s">
        <v>313</v>
      </c>
      <c r="C31" s="3">
        <v>0.02</v>
      </c>
      <c r="D31" s="3">
        <f t="shared" si="9"/>
        <v>1.4999999999999999E-2</v>
      </c>
      <c r="E31" s="3">
        <f t="shared" si="10"/>
        <v>5.000000000000001E-3</v>
      </c>
      <c r="F31" s="3">
        <f t="shared" si="11"/>
        <v>5.000000000000001E-3</v>
      </c>
      <c r="G31" s="3">
        <f t="shared" si="12"/>
        <v>2.5000000000000011E-5</v>
      </c>
    </row>
    <row r="32" spans="1:7" x14ac:dyDescent="0.3">
      <c r="A32" s="21" t="s">
        <v>309</v>
      </c>
      <c r="B32" s="3">
        <v>8</v>
      </c>
      <c r="C32" s="3">
        <v>0.01</v>
      </c>
      <c r="D32" s="3"/>
      <c r="E32" s="3"/>
      <c r="F32" s="3"/>
      <c r="G32" s="12"/>
    </row>
    <row r="33" spans="1:7" x14ac:dyDescent="0.3">
      <c r="A33" s="22"/>
      <c r="B33" s="3">
        <v>9</v>
      </c>
      <c r="C33" s="3">
        <v>0</v>
      </c>
      <c r="D33" s="2"/>
      <c r="E33" s="2"/>
      <c r="F33" s="2"/>
      <c r="G33" s="2"/>
    </row>
    <row r="34" spans="1:7" x14ac:dyDescent="0.3">
      <c r="A34" s="22"/>
      <c r="B34" s="3">
        <v>10</v>
      </c>
      <c r="C34" s="3">
        <v>0.01</v>
      </c>
      <c r="D34" s="2"/>
      <c r="E34" s="2"/>
      <c r="F34" s="2"/>
      <c r="G34" s="2"/>
    </row>
    <row r="35" spans="1:7" x14ac:dyDescent="0.3">
      <c r="A35" s="22"/>
      <c r="B35" s="3">
        <v>11</v>
      </c>
      <c r="C35" s="3">
        <v>0</v>
      </c>
      <c r="D35" s="2"/>
      <c r="E35" s="2"/>
      <c r="F35" s="2"/>
      <c r="G35" s="2"/>
    </row>
    <row r="36" spans="1:7" x14ac:dyDescent="0.3">
      <c r="A36" s="22"/>
      <c r="B36" s="3">
        <v>12</v>
      </c>
      <c r="C36" s="3">
        <v>0.01</v>
      </c>
      <c r="D36" s="3">
        <f>AVERAGE(C32:C35)</f>
        <v>5.0000000000000001E-3</v>
      </c>
      <c r="E36" s="3">
        <f>C36-D36</f>
        <v>5.0000000000000001E-3</v>
      </c>
      <c r="F36" s="3">
        <f>ABS(E36)</f>
        <v>5.0000000000000001E-3</v>
      </c>
      <c r="G36" s="3">
        <f>E36^2</f>
        <v>2.5000000000000001E-5</v>
      </c>
    </row>
    <row r="37" spans="1:7" x14ac:dyDescent="0.3">
      <c r="A37" s="22"/>
      <c r="B37" s="3">
        <v>16</v>
      </c>
      <c r="C37" s="3">
        <v>0.02</v>
      </c>
      <c r="D37" s="3">
        <f t="shared" ref="D37:D41" si="13">AVERAGE(C33:C36)</f>
        <v>5.0000000000000001E-3</v>
      </c>
      <c r="E37" s="3">
        <f t="shared" ref="E37:E41" si="14">C37-D37</f>
        <v>1.4999999999999999E-2</v>
      </c>
      <c r="F37" s="3">
        <f t="shared" ref="F37:F41" si="15">ABS(E37)</f>
        <v>1.4999999999999999E-2</v>
      </c>
      <c r="G37" s="3">
        <f t="shared" ref="G37:G41" si="16">E37^2</f>
        <v>2.2499999999999999E-4</v>
      </c>
    </row>
    <row r="38" spans="1:7" x14ac:dyDescent="0.3">
      <c r="A38" s="22"/>
      <c r="B38" s="3">
        <v>20</v>
      </c>
      <c r="C38" s="3">
        <v>0.02</v>
      </c>
      <c r="D38" s="3">
        <f t="shared" si="13"/>
        <v>0.01</v>
      </c>
      <c r="E38" s="3">
        <f t="shared" si="14"/>
        <v>0.01</v>
      </c>
      <c r="F38" s="3">
        <f t="shared" si="15"/>
        <v>0.01</v>
      </c>
      <c r="G38" s="3">
        <f t="shared" si="16"/>
        <v>1E-4</v>
      </c>
    </row>
    <row r="39" spans="1:7" x14ac:dyDescent="0.3">
      <c r="A39" s="22"/>
      <c r="B39" s="3">
        <v>0</v>
      </c>
      <c r="C39" s="3">
        <v>0.02</v>
      </c>
      <c r="D39" s="3">
        <f t="shared" si="13"/>
        <v>1.2500000000000001E-2</v>
      </c>
      <c r="E39" s="3">
        <f t="shared" si="14"/>
        <v>7.4999999999999997E-3</v>
      </c>
      <c r="F39" s="3">
        <f t="shared" si="15"/>
        <v>7.4999999999999997E-3</v>
      </c>
      <c r="G39" s="3">
        <f t="shared" si="16"/>
        <v>5.6249999999999998E-5</v>
      </c>
    </row>
    <row r="40" spans="1:7" x14ac:dyDescent="0.3">
      <c r="A40" s="22"/>
      <c r="B40" s="3" t="s">
        <v>312</v>
      </c>
      <c r="C40" s="3">
        <v>0.02</v>
      </c>
      <c r="D40" s="3">
        <f t="shared" si="13"/>
        <v>1.7500000000000002E-2</v>
      </c>
      <c r="E40" s="3">
        <f t="shared" si="14"/>
        <v>2.4999999999999988E-3</v>
      </c>
      <c r="F40" s="3">
        <f t="shared" si="15"/>
        <v>2.4999999999999988E-3</v>
      </c>
      <c r="G40" s="3">
        <f t="shared" si="16"/>
        <v>6.2499999999999935E-6</v>
      </c>
    </row>
    <row r="41" spans="1:7" x14ac:dyDescent="0.3">
      <c r="A41" s="23"/>
      <c r="B41" s="3" t="s">
        <v>313</v>
      </c>
      <c r="C41" s="3">
        <v>0.02</v>
      </c>
      <c r="D41" s="3">
        <f t="shared" si="13"/>
        <v>0.02</v>
      </c>
      <c r="E41" s="3">
        <f t="shared" si="14"/>
        <v>0</v>
      </c>
      <c r="F41" s="3">
        <f t="shared" si="15"/>
        <v>0</v>
      </c>
      <c r="G41" s="3">
        <f t="shared" si="16"/>
        <v>0</v>
      </c>
    </row>
    <row r="42" spans="1:7" x14ac:dyDescent="0.3">
      <c r="A42" s="21" t="s">
        <v>310</v>
      </c>
      <c r="B42" s="3">
        <v>8</v>
      </c>
      <c r="C42" s="3">
        <v>0</v>
      </c>
      <c r="D42" s="3"/>
      <c r="E42" s="3"/>
      <c r="F42" s="3"/>
      <c r="G42" s="12"/>
    </row>
    <row r="43" spans="1:7" x14ac:dyDescent="0.3">
      <c r="A43" s="22"/>
      <c r="B43" s="3">
        <v>9</v>
      </c>
      <c r="C43" s="3">
        <v>0</v>
      </c>
      <c r="E43" s="2"/>
      <c r="F43" s="2"/>
      <c r="G43" s="2"/>
    </row>
    <row r="44" spans="1:7" x14ac:dyDescent="0.3">
      <c r="A44" s="22"/>
      <c r="B44" s="3">
        <v>10</v>
      </c>
      <c r="C44" s="3">
        <v>0.02</v>
      </c>
      <c r="D44" s="2"/>
      <c r="E44" s="2"/>
      <c r="F44" s="2"/>
      <c r="G44" s="2"/>
    </row>
    <row r="45" spans="1:7" x14ac:dyDescent="0.3">
      <c r="A45" s="22"/>
      <c r="B45" s="3">
        <v>11</v>
      </c>
      <c r="C45" s="3">
        <v>0</v>
      </c>
      <c r="D45" s="2"/>
      <c r="E45" s="2"/>
      <c r="F45" s="2"/>
      <c r="G45" s="2"/>
    </row>
    <row r="46" spans="1:7" x14ac:dyDescent="0.3">
      <c r="A46" s="22"/>
      <c r="B46" s="3">
        <v>12</v>
      </c>
      <c r="C46" s="3">
        <v>0.02</v>
      </c>
      <c r="D46" s="3">
        <f>AVERAGE(C42:C45)</f>
        <v>5.0000000000000001E-3</v>
      </c>
      <c r="E46" s="3">
        <f>C46-D46</f>
        <v>1.4999999999999999E-2</v>
      </c>
      <c r="F46" s="3">
        <f>ABS(E46)</f>
        <v>1.4999999999999999E-2</v>
      </c>
      <c r="G46" s="3">
        <f>E46^2</f>
        <v>2.2499999999999999E-4</v>
      </c>
    </row>
    <row r="47" spans="1:7" x14ac:dyDescent="0.3">
      <c r="A47" s="22"/>
      <c r="B47" s="3">
        <v>16</v>
      </c>
      <c r="C47" s="3">
        <v>0</v>
      </c>
      <c r="D47" s="3">
        <f t="shared" ref="D47:D51" si="17">AVERAGE(C43:C46)</f>
        <v>0.01</v>
      </c>
      <c r="E47" s="3">
        <f t="shared" ref="E47:E51" si="18">C47-D47</f>
        <v>-0.01</v>
      </c>
      <c r="F47" s="3">
        <f t="shared" ref="F47:F51" si="19">ABS(E47)</f>
        <v>0.01</v>
      </c>
      <c r="G47" s="3">
        <f t="shared" ref="G47:G51" si="20">E47^2</f>
        <v>1E-4</v>
      </c>
    </row>
    <row r="48" spans="1:7" x14ac:dyDescent="0.3">
      <c r="A48" s="22"/>
      <c r="B48" s="3">
        <v>20</v>
      </c>
      <c r="C48" s="3">
        <v>0</v>
      </c>
      <c r="D48" s="3">
        <f t="shared" si="17"/>
        <v>0.01</v>
      </c>
      <c r="E48" s="3">
        <f t="shared" si="18"/>
        <v>-0.01</v>
      </c>
      <c r="F48" s="3">
        <f t="shared" si="19"/>
        <v>0.01</v>
      </c>
      <c r="G48" s="3">
        <f t="shared" si="20"/>
        <v>1E-4</v>
      </c>
    </row>
    <row r="49" spans="1:7" x14ac:dyDescent="0.3">
      <c r="A49" s="22"/>
      <c r="B49" s="3">
        <v>0</v>
      </c>
      <c r="C49" s="3">
        <v>0.01</v>
      </c>
      <c r="D49" s="3">
        <f t="shared" si="17"/>
        <v>5.0000000000000001E-3</v>
      </c>
      <c r="E49" s="3">
        <f t="shared" si="18"/>
        <v>5.0000000000000001E-3</v>
      </c>
      <c r="F49" s="3">
        <f t="shared" si="19"/>
        <v>5.0000000000000001E-3</v>
      </c>
      <c r="G49" s="3">
        <f t="shared" si="20"/>
        <v>2.5000000000000001E-5</v>
      </c>
    </row>
    <row r="50" spans="1:7" x14ac:dyDescent="0.3">
      <c r="A50" s="22"/>
      <c r="B50" s="3" t="s">
        <v>312</v>
      </c>
      <c r="C50" s="3">
        <v>0.01</v>
      </c>
      <c r="D50" s="3">
        <f t="shared" si="17"/>
        <v>7.4999999999999997E-3</v>
      </c>
      <c r="E50" s="3">
        <f t="shared" si="18"/>
        <v>2.5000000000000005E-3</v>
      </c>
      <c r="F50" s="3">
        <f t="shared" si="19"/>
        <v>2.5000000000000005E-3</v>
      </c>
      <c r="G50" s="3">
        <f t="shared" si="20"/>
        <v>6.2500000000000028E-6</v>
      </c>
    </row>
    <row r="51" spans="1:7" x14ac:dyDescent="0.3">
      <c r="A51" s="23"/>
      <c r="B51" s="3" t="s">
        <v>313</v>
      </c>
      <c r="C51" s="3">
        <v>0.02</v>
      </c>
      <c r="D51" s="3">
        <f t="shared" si="17"/>
        <v>5.0000000000000001E-3</v>
      </c>
      <c r="E51" s="3">
        <f t="shared" si="18"/>
        <v>1.4999999999999999E-2</v>
      </c>
      <c r="F51" s="3">
        <f t="shared" si="19"/>
        <v>1.4999999999999999E-2</v>
      </c>
      <c r="G51" s="3">
        <f t="shared" si="20"/>
        <v>2.2499999999999999E-4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79C3-93A1-4362-BA83-BE4B21F76832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44140625" style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300</v>
      </c>
      <c r="D1" s="10" t="s">
        <v>334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3">
        <v>5.32</v>
      </c>
      <c r="D2" s="3"/>
      <c r="E2" s="3"/>
      <c r="F2" s="3"/>
      <c r="G2" s="12"/>
    </row>
    <row r="3" spans="1:15" x14ac:dyDescent="0.3">
      <c r="A3" s="22"/>
      <c r="B3" s="3">
        <v>9</v>
      </c>
      <c r="C3" s="3">
        <v>5.2</v>
      </c>
      <c r="D3" s="3"/>
      <c r="E3" s="3"/>
      <c r="F3" s="3"/>
      <c r="G3" s="12"/>
    </row>
    <row r="4" spans="1:15" x14ac:dyDescent="0.3">
      <c r="A4" s="22"/>
      <c r="B4" s="3">
        <v>10</v>
      </c>
      <c r="C4" s="3">
        <v>5.46</v>
      </c>
      <c r="D4" s="3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3">
        <v>3.78</v>
      </c>
      <c r="D5" s="3"/>
      <c r="E5" s="3"/>
      <c r="F5" s="3"/>
      <c r="G5" s="12"/>
      <c r="J5" s="2" t="s">
        <v>297</v>
      </c>
      <c r="K5" s="3">
        <f>AVERAGE(E6:E11)</f>
        <v>-1.3808333333333334</v>
      </c>
      <c r="L5" s="3">
        <f>AVERAGE(F6:F11)</f>
        <v>1.4608333333333334</v>
      </c>
      <c r="M5" s="3">
        <f>AVERAGE(G6:G11)</f>
        <v>5.9061520833333327</v>
      </c>
      <c r="N5" s="3">
        <f>SQRT(M5)</f>
        <v>2.4302576166598744</v>
      </c>
      <c r="O5" s="3">
        <f>N5/AVERAGE(C6:C11)*100</f>
        <v>76.623992117494723</v>
      </c>
    </row>
    <row r="6" spans="1:15" x14ac:dyDescent="0.3">
      <c r="A6" s="22"/>
      <c r="B6" s="3">
        <v>12</v>
      </c>
      <c r="C6" s="3">
        <v>4.76</v>
      </c>
      <c r="D6" s="3">
        <f>AVERAGE(C2:C5)</f>
        <v>4.9400000000000004</v>
      </c>
      <c r="E6" s="3">
        <f>C6-D6</f>
        <v>-0.1800000000000006</v>
      </c>
      <c r="F6" s="3">
        <f>ABS(E6)</f>
        <v>0.1800000000000006</v>
      </c>
      <c r="G6" s="3">
        <f>E6^2</f>
        <v>3.240000000000022E-2</v>
      </c>
      <c r="J6" s="2">
        <v>33</v>
      </c>
      <c r="K6" s="3">
        <f>AVERAGE(E16:E21)</f>
        <v>-0.24</v>
      </c>
      <c r="L6" s="3">
        <f>AVERAGE(F16:F21)</f>
        <v>0.30166666666666669</v>
      </c>
      <c r="M6" s="3">
        <f>AVERAGE(G16:G21)</f>
        <v>0.20032916666666667</v>
      </c>
      <c r="N6" s="3">
        <f t="shared" ref="N6:N9" si="0">SQRT(M6)</f>
        <v>0.4475814637210378</v>
      </c>
      <c r="O6" s="3">
        <f>N6/AVERAGE(C16:C21)*100</f>
        <v>76.728250923606481</v>
      </c>
    </row>
    <row r="7" spans="1:15" x14ac:dyDescent="0.3">
      <c r="A7" s="22"/>
      <c r="B7" s="3">
        <v>16</v>
      </c>
      <c r="C7" s="3">
        <v>4.78</v>
      </c>
      <c r="D7" s="3">
        <f t="shared" ref="D7:D11" si="1">AVERAGE(C3:C6)</f>
        <v>4.8</v>
      </c>
      <c r="E7" s="3">
        <f t="shared" ref="E7:E11" si="2">C7-D7</f>
        <v>-1.9999999999999574E-2</v>
      </c>
      <c r="F7" s="3">
        <f t="shared" ref="F7:F11" si="3">ABS(E7)</f>
        <v>1.9999999999999574E-2</v>
      </c>
      <c r="G7" s="3">
        <f t="shared" ref="G7:G11" si="4">E7^2</f>
        <v>3.9999999999998294E-4</v>
      </c>
      <c r="J7" s="2">
        <v>46</v>
      </c>
      <c r="K7" s="3">
        <f>AVERAGE(E26:E31)</f>
        <v>-0.24833333333333338</v>
      </c>
      <c r="L7" s="3">
        <f>AVERAGE(F26:F31)</f>
        <v>0.32</v>
      </c>
      <c r="M7" s="3">
        <f>AVERAGE(G26:G31)</f>
        <v>0.17407708333333335</v>
      </c>
      <c r="N7" s="3">
        <f t="shared" si="0"/>
        <v>0.41722545863517646</v>
      </c>
      <c r="O7" s="3">
        <f>N7/AVERAGE(C26:C31)*100</f>
        <v>78.229773494095582</v>
      </c>
    </row>
    <row r="8" spans="1:15" x14ac:dyDescent="0.3">
      <c r="A8" s="22"/>
      <c r="B8" s="3">
        <v>20</v>
      </c>
      <c r="C8" s="3">
        <v>4.9000000000000004</v>
      </c>
      <c r="D8" s="3">
        <f t="shared" si="1"/>
        <v>4.6950000000000003</v>
      </c>
      <c r="E8" s="3">
        <f t="shared" si="2"/>
        <v>0.20500000000000007</v>
      </c>
      <c r="F8" s="3">
        <f t="shared" si="3"/>
        <v>0.20500000000000007</v>
      </c>
      <c r="G8" s="3">
        <f t="shared" si="4"/>
        <v>4.2025000000000028E-2</v>
      </c>
      <c r="J8" s="2" t="s">
        <v>309</v>
      </c>
      <c r="K8" s="3">
        <f>AVERAGE(E36:E41)</f>
        <v>-0.26833333333333331</v>
      </c>
      <c r="L8" s="3">
        <f>AVERAGE(F36:F41)</f>
        <v>0.35333333333333333</v>
      </c>
      <c r="M8" s="3">
        <f>AVERAGE(G36:G41)</f>
        <v>0.17514374999999996</v>
      </c>
      <c r="N8" s="3">
        <f t="shared" si="0"/>
        <v>0.4185017921108582</v>
      </c>
      <c r="O8" s="3">
        <f>N8/AVERAGE(C36:C41)*100</f>
        <v>90.978650458882228</v>
      </c>
    </row>
    <row r="9" spans="1:15" x14ac:dyDescent="0.3">
      <c r="A9" s="22"/>
      <c r="B9" s="3">
        <v>0</v>
      </c>
      <c r="C9" s="3">
        <v>4.59</v>
      </c>
      <c r="D9" s="3">
        <f t="shared" si="1"/>
        <v>4.5549999999999997</v>
      </c>
      <c r="E9" s="3">
        <f t="shared" si="2"/>
        <v>3.5000000000000142E-2</v>
      </c>
      <c r="F9" s="3">
        <f t="shared" si="3"/>
        <v>3.5000000000000142E-2</v>
      </c>
      <c r="G9" s="3">
        <f t="shared" si="4"/>
        <v>1.2250000000000099E-3</v>
      </c>
      <c r="J9" s="2" t="s">
        <v>310</v>
      </c>
      <c r="K9" s="3">
        <f>AVERAGE(E46:E51)</f>
        <v>-0.28916666666666674</v>
      </c>
      <c r="L9" s="3">
        <f>AVERAGE(F46:F51)</f>
        <v>1.3416666666666668</v>
      </c>
      <c r="M9" s="3">
        <f>AVERAGE(G46:G51)</f>
        <v>2.5870083333333329</v>
      </c>
      <c r="N9" s="3">
        <f t="shared" si="0"/>
        <v>1.6084179597770392</v>
      </c>
      <c r="O9" s="3">
        <f>N9/AVERAGE(C46:C51)*100</f>
        <v>158.46482362335362</v>
      </c>
    </row>
    <row r="10" spans="1:15" x14ac:dyDescent="0.3">
      <c r="A10" s="22"/>
      <c r="B10" s="3" t="s">
        <v>312</v>
      </c>
      <c r="C10" s="3">
        <v>0</v>
      </c>
      <c r="D10" s="3">
        <f t="shared" si="1"/>
        <v>4.7575000000000003</v>
      </c>
      <c r="E10" s="3">
        <f t="shared" si="2"/>
        <v>-4.7575000000000003</v>
      </c>
      <c r="F10" s="3">
        <f t="shared" si="3"/>
        <v>4.7575000000000003</v>
      </c>
      <c r="G10" s="3">
        <f t="shared" si="4"/>
        <v>22.633806250000003</v>
      </c>
    </row>
    <row r="11" spans="1:15" x14ac:dyDescent="0.3">
      <c r="A11" s="23"/>
      <c r="B11" s="3" t="s">
        <v>313</v>
      </c>
      <c r="C11" s="3">
        <v>0</v>
      </c>
      <c r="D11" s="3">
        <f t="shared" si="1"/>
        <v>3.5674999999999999</v>
      </c>
      <c r="E11" s="3">
        <f t="shared" si="2"/>
        <v>-3.5674999999999999</v>
      </c>
      <c r="F11" s="3">
        <f t="shared" si="3"/>
        <v>3.5674999999999999</v>
      </c>
      <c r="G11" s="3">
        <f t="shared" si="4"/>
        <v>12.727056249999999</v>
      </c>
    </row>
    <row r="12" spans="1:15" x14ac:dyDescent="0.3">
      <c r="A12" s="21">
        <v>33</v>
      </c>
      <c r="B12" s="9">
        <v>8</v>
      </c>
      <c r="C12" s="3">
        <v>0.83</v>
      </c>
      <c r="D12" s="3"/>
      <c r="E12" s="3"/>
      <c r="F12" s="3"/>
      <c r="G12" s="12"/>
      <c r="K12" s="4"/>
      <c r="L12" s="4"/>
      <c r="M12" s="4"/>
      <c r="N12" s="4"/>
    </row>
    <row r="13" spans="1:15" x14ac:dyDescent="0.3">
      <c r="A13" s="22"/>
      <c r="B13" s="3">
        <v>9</v>
      </c>
      <c r="C13" s="3">
        <v>1.07</v>
      </c>
      <c r="D13" s="3"/>
      <c r="E13" s="2"/>
      <c r="F13" s="2"/>
      <c r="G13" s="2"/>
      <c r="K13" s="4"/>
      <c r="L13" s="4"/>
      <c r="M13" s="4"/>
      <c r="N13" s="4"/>
    </row>
    <row r="14" spans="1:15" x14ac:dyDescent="0.3">
      <c r="A14" s="22"/>
      <c r="B14" s="3">
        <v>10</v>
      </c>
      <c r="C14" s="3">
        <v>0.72</v>
      </c>
      <c r="D14" s="3"/>
      <c r="E14" s="2"/>
      <c r="F14" s="2"/>
      <c r="G14" s="2"/>
      <c r="K14" s="4"/>
      <c r="L14" s="4"/>
      <c r="M14" s="4"/>
      <c r="N14" s="4"/>
    </row>
    <row r="15" spans="1:15" x14ac:dyDescent="0.3">
      <c r="A15" s="22"/>
      <c r="B15" s="3">
        <v>11</v>
      </c>
      <c r="C15" s="3">
        <v>0.83</v>
      </c>
      <c r="D15" s="3"/>
      <c r="E15" s="2"/>
      <c r="F15" s="2"/>
      <c r="G15" s="2"/>
      <c r="K15" s="4"/>
      <c r="L15" s="4"/>
      <c r="M15" s="4"/>
      <c r="N15" s="4"/>
    </row>
    <row r="16" spans="1:15" x14ac:dyDescent="0.3">
      <c r="A16" s="22"/>
      <c r="B16" s="3">
        <v>12</v>
      </c>
      <c r="C16" s="3">
        <v>0.93</v>
      </c>
      <c r="D16" s="3">
        <f>AVERAGE(C12:C15)</f>
        <v>0.86250000000000004</v>
      </c>
      <c r="E16" s="3">
        <f>C16-D16</f>
        <v>6.7500000000000004E-2</v>
      </c>
      <c r="F16" s="3">
        <f>ABS(E16)</f>
        <v>6.7500000000000004E-2</v>
      </c>
      <c r="G16" s="3">
        <f>E16^2</f>
        <v>4.5562500000000004E-3</v>
      </c>
      <c r="K16" s="4"/>
      <c r="L16" s="4"/>
      <c r="M16" s="4"/>
      <c r="N16" s="4"/>
    </row>
    <row r="17" spans="1:7" x14ac:dyDescent="0.3">
      <c r="A17" s="22"/>
      <c r="B17" s="3">
        <v>16</v>
      </c>
      <c r="C17" s="3">
        <v>0.78</v>
      </c>
      <c r="D17" s="3">
        <f t="shared" ref="D17:D21" si="5">AVERAGE(C13:C16)</f>
        <v>0.88750000000000007</v>
      </c>
      <c r="E17" s="3">
        <f t="shared" ref="E17:E21" si="6">C17-D17</f>
        <v>-0.10750000000000004</v>
      </c>
      <c r="F17" s="3">
        <f t="shared" ref="F17:F21" si="7">ABS(E17)</f>
        <v>0.10750000000000004</v>
      </c>
      <c r="G17" s="3">
        <f t="shared" ref="G17:G21" si="8">E17^2</f>
        <v>1.1556250000000009E-2</v>
      </c>
    </row>
    <row r="18" spans="1:7" x14ac:dyDescent="0.3">
      <c r="A18" s="22"/>
      <c r="B18" s="3">
        <v>20</v>
      </c>
      <c r="C18" s="3">
        <v>0.89</v>
      </c>
      <c r="D18" s="3">
        <f t="shared" si="5"/>
        <v>0.81499999999999995</v>
      </c>
      <c r="E18" s="3">
        <f t="shared" si="6"/>
        <v>7.5000000000000067E-2</v>
      </c>
      <c r="F18" s="3">
        <f t="shared" si="7"/>
        <v>7.5000000000000067E-2</v>
      </c>
      <c r="G18" s="3">
        <f t="shared" si="8"/>
        <v>5.6250000000000102E-3</v>
      </c>
    </row>
    <row r="19" spans="1:7" x14ac:dyDescent="0.3">
      <c r="A19" s="22"/>
      <c r="B19" s="3">
        <v>0</v>
      </c>
      <c r="C19" s="3">
        <v>0.9</v>
      </c>
      <c r="D19" s="3">
        <f t="shared" si="5"/>
        <v>0.85750000000000004</v>
      </c>
      <c r="E19" s="3">
        <f t="shared" si="6"/>
        <v>4.2499999999999982E-2</v>
      </c>
      <c r="F19" s="3">
        <f t="shared" si="7"/>
        <v>4.2499999999999982E-2</v>
      </c>
      <c r="G19" s="3">
        <f t="shared" si="8"/>
        <v>1.8062499999999984E-3</v>
      </c>
    </row>
    <row r="20" spans="1:7" x14ac:dyDescent="0.3">
      <c r="A20" s="22"/>
      <c r="B20" s="3" t="s">
        <v>312</v>
      </c>
      <c r="C20" s="3">
        <v>0</v>
      </c>
      <c r="D20" s="3">
        <f t="shared" si="5"/>
        <v>0.875</v>
      </c>
      <c r="E20" s="3">
        <f t="shared" si="6"/>
        <v>-0.875</v>
      </c>
      <c r="F20" s="3">
        <f t="shared" si="7"/>
        <v>0.875</v>
      </c>
      <c r="G20" s="3">
        <f t="shared" si="8"/>
        <v>0.765625</v>
      </c>
    </row>
    <row r="21" spans="1:7" x14ac:dyDescent="0.3">
      <c r="A21" s="23"/>
      <c r="B21" s="3" t="s">
        <v>313</v>
      </c>
      <c r="C21" s="3">
        <v>0</v>
      </c>
      <c r="D21" s="3">
        <f t="shared" si="5"/>
        <v>0.64249999999999996</v>
      </c>
      <c r="E21" s="3">
        <f t="shared" si="6"/>
        <v>-0.64249999999999996</v>
      </c>
      <c r="F21" s="3">
        <f t="shared" si="7"/>
        <v>0.64249999999999996</v>
      </c>
      <c r="G21" s="3">
        <f t="shared" si="8"/>
        <v>0.41280624999999993</v>
      </c>
    </row>
    <row r="22" spans="1:7" x14ac:dyDescent="0.3">
      <c r="A22" s="21">
        <v>46</v>
      </c>
      <c r="B22" s="9">
        <v>8</v>
      </c>
      <c r="C22" s="3">
        <v>0.91</v>
      </c>
      <c r="D22" s="3"/>
      <c r="E22" s="3"/>
      <c r="F22" s="3"/>
      <c r="G22" s="12"/>
    </row>
    <row r="23" spans="1:7" x14ac:dyDescent="0.3">
      <c r="A23" s="22"/>
      <c r="B23" s="3">
        <v>9</v>
      </c>
      <c r="C23" s="3">
        <v>0.8</v>
      </c>
      <c r="D23" s="3"/>
      <c r="E23" s="2"/>
      <c r="F23" s="2"/>
      <c r="G23" s="2"/>
    </row>
    <row r="24" spans="1:7" x14ac:dyDescent="0.3">
      <c r="A24" s="22"/>
      <c r="B24" s="3">
        <v>10</v>
      </c>
      <c r="C24" s="3">
        <v>1</v>
      </c>
      <c r="D24" s="2"/>
      <c r="E24" s="2"/>
      <c r="F24" s="2"/>
      <c r="G24" s="2"/>
    </row>
    <row r="25" spans="1:7" x14ac:dyDescent="0.3">
      <c r="A25" s="22"/>
      <c r="B25" s="3">
        <v>11</v>
      </c>
      <c r="C25" s="3">
        <v>0.73</v>
      </c>
      <c r="D25" s="2"/>
      <c r="E25" s="2"/>
      <c r="F25" s="2"/>
      <c r="G25" s="2"/>
    </row>
    <row r="26" spans="1:7" x14ac:dyDescent="0.3">
      <c r="A26" s="22"/>
      <c r="B26" s="3">
        <v>12</v>
      </c>
      <c r="C26" s="3">
        <v>0.97</v>
      </c>
      <c r="D26" s="3">
        <f>AVERAGE(C22:C25)</f>
        <v>0.86</v>
      </c>
      <c r="E26" s="3">
        <f>C26-D26</f>
        <v>0.10999999999999999</v>
      </c>
      <c r="F26" s="3">
        <f>ABS(E26)</f>
        <v>0.10999999999999999</v>
      </c>
      <c r="G26" s="3">
        <f>E26^2</f>
        <v>1.2099999999999998E-2</v>
      </c>
    </row>
    <row r="27" spans="1:7" x14ac:dyDescent="0.3">
      <c r="A27" s="22"/>
      <c r="B27" s="3">
        <v>16</v>
      </c>
      <c r="C27" s="3">
        <v>0.63</v>
      </c>
      <c r="D27" s="3">
        <f t="shared" ref="D27:D31" si="9">AVERAGE(C23:C26)</f>
        <v>0.875</v>
      </c>
      <c r="E27" s="3">
        <f t="shared" ref="E27:E31" si="10">C27-D27</f>
        <v>-0.245</v>
      </c>
      <c r="F27" s="3">
        <f t="shared" ref="F27:F31" si="11">ABS(E27)</f>
        <v>0.245</v>
      </c>
      <c r="G27" s="3">
        <f t="shared" ref="G27:G31" si="12">E27^2</f>
        <v>6.0024999999999995E-2</v>
      </c>
    </row>
    <row r="28" spans="1:7" x14ac:dyDescent="0.3">
      <c r="A28" s="22"/>
      <c r="B28" s="3">
        <v>20</v>
      </c>
      <c r="C28" s="3">
        <v>0.73</v>
      </c>
      <c r="D28" s="3">
        <f t="shared" si="9"/>
        <v>0.83250000000000002</v>
      </c>
      <c r="E28" s="3">
        <f t="shared" si="10"/>
        <v>-0.10250000000000004</v>
      </c>
      <c r="F28" s="3">
        <f t="shared" si="11"/>
        <v>0.10250000000000004</v>
      </c>
      <c r="G28" s="3">
        <f t="shared" si="12"/>
        <v>1.0506250000000007E-2</v>
      </c>
    </row>
    <row r="29" spans="1:7" x14ac:dyDescent="0.3">
      <c r="A29" s="22"/>
      <c r="B29" s="3">
        <v>0</v>
      </c>
      <c r="C29" s="3">
        <v>0.87</v>
      </c>
      <c r="D29" s="3">
        <f t="shared" si="9"/>
        <v>0.76500000000000001</v>
      </c>
      <c r="E29" s="3">
        <f t="shared" si="10"/>
        <v>0.10499999999999998</v>
      </c>
      <c r="F29" s="3">
        <f t="shared" si="11"/>
        <v>0.10499999999999998</v>
      </c>
      <c r="G29" s="3">
        <f t="shared" si="12"/>
        <v>1.1024999999999997E-2</v>
      </c>
    </row>
    <row r="30" spans="1:7" x14ac:dyDescent="0.3">
      <c r="A30" s="22"/>
      <c r="B30" s="3" t="s">
        <v>312</v>
      </c>
      <c r="C30" s="3">
        <v>0</v>
      </c>
      <c r="D30" s="3">
        <f t="shared" si="9"/>
        <v>0.8</v>
      </c>
      <c r="E30" s="3">
        <f t="shared" si="10"/>
        <v>-0.8</v>
      </c>
      <c r="F30" s="3">
        <f t="shared" si="11"/>
        <v>0.8</v>
      </c>
      <c r="G30" s="3">
        <f t="shared" si="12"/>
        <v>0.64000000000000012</v>
      </c>
    </row>
    <row r="31" spans="1:7" x14ac:dyDescent="0.3">
      <c r="A31" s="23"/>
      <c r="B31" s="3" t="s">
        <v>313</v>
      </c>
      <c r="C31" s="3">
        <v>0</v>
      </c>
      <c r="D31" s="3">
        <f t="shared" si="9"/>
        <v>0.5575</v>
      </c>
      <c r="E31" s="3">
        <f t="shared" si="10"/>
        <v>-0.5575</v>
      </c>
      <c r="F31" s="3">
        <f t="shared" si="11"/>
        <v>0.5575</v>
      </c>
      <c r="G31" s="3">
        <f t="shared" si="12"/>
        <v>0.31080625000000001</v>
      </c>
    </row>
    <row r="32" spans="1:7" x14ac:dyDescent="0.3">
      <c r="A32" s="21" t="s">
        <v>309</v>
      </c>
      <c r="B32" s="3">
        <v>8</v>
      </c>
      <c r="C32" s="3">
        <v>1</v>
      </c>
      <c r="D32" s="3"/>
      <c r="E32" s="3"/>
      <c r="F32" s="3"/>
      <c r="G32" s="12"/>
    </row>
    <row r="33" spans="1:7" x14ac:dyDescent="0.3">
      <c r="A33" s="22"/>
      <c r="B33" s="3">
        <v>9</v>
      </c>
      <c r="C33" s="3">
        <v>0.66</v>
      </c>
      <c r="D33" s="2"/>
      <c r="E33" s="2"/>
      <c r="F33" s="2"/>
      <c r="G33" s="2"/>
    </row>
    <row r="34" spans="1:7" x14ac:dyDescent="0.3">
      <c r="A34" s="22"/>
      <c r="B34" s="3">
        <v>10</v>
      </c>
      <c r="C34" s="3">
        <v>0.84</v>
      </c>
      <c r="D34" s="2"/>
      <c r="E34" s="2"/>
      <c r="F34" s="2"/>
      <c r="G34" s="2"/>
    </row>
    <row r="35" spans="1:7" x14ac:dyDescent="0.3">
      <c r="A35" s="22"/>
      <c r="B35" s="3">
        <v>11</v>
      </c>
      <c r="C35" s="3">
        <v>0.84</v>
      </c>
      <c r="D35" s="2"/>
      <c r="E35" s="2"/>
      <c r="F35" s="2"/>
      <c r="G35" s="2"/>
    </row>
    <row r="36" spans="1:7" x14ac:dyDescent="0.3">
      <c r="A36" s="22"/>
      <c r="B36" s="3">
        <v>12</v>
      </c>
      <c r="C36" s="3">
        <v>0.68</v>
      </c>
      <c r="D36" s="3">
        <f>AVERAGE(C32:C35)</f>
        <v>0.83499999999999996</v>
      </c>
      <c r="E36" s="3">
        <f>C36-D36</f>
        <v>-0.15499999999999992</v>
      </c>
      <c r="F36" s="3">
        <f>ABS(E36)</f>
        <v>0.15499999999999992</v>
      </c>
      <c r="G36" s="3">
        <f>E36^2</f>
        <v>2.4024999999999973E-2</v>
      </c>
    </row>
    <row r="37" spans="1:7" x14ac:dyDescent="0.3">
      <c r="A37" s="22"/>
      <c r="B37" s="3">
        <v>16</v>
      </c>
      <c r="C37" s="3">
        <v>1.01</v>
      </c>
      <c r="D37" s="3">
        <f t="shared" ref="D37:D41" si="13">AVERAGE(C33:C36)</f>
        <v>0.755</v>
      </c>
      <c r="E37" s="3">
        <f t="shared" ref="E37:E41" si="14">C37-D37</f>
        <v>0.255</v>
      </c>
      <c r="F37" s="3">
        <f t="shared" ref="F37:F41" si="15">ABS(E37)</f>
        <v>0.255</v>
      </c>
      <c r="G37" s="3">
        <f t="shared" ref="G37:G41" si="16">E37^2</f>
        <v>6.5024999999999999E-2</v>
      </c>
    </row>
    <row r="38" spans="1:7" x14ac:dyDescent="0.3">
      <c r="A38" s="22"/>
      <c r="B38" s="3">
        <v>20</v>
      </c>
      <c r="C38" s="3">
        <v>0.38</v>
      </c>
      <c r="D38" s="3">
        <f t="shared" si="13"/>
        <v>0.84250000000000003</v>
      </c>
      <c r="E38" s="3">
        <f t="shared" si="14"/>
        <v>-0.46250000000000002</v>
      </c>
      <c r="F38" s="3">
        <f t="shared" si="15"/>
        <v>0.46250000000000002</v>
      </c>
      <c r="G38" s="3">
        <f t="shared" si="16"/>
        <v>0.21390625000000002</v>
      </c>
    </row>
    <row r="39" spans="1:7" x14ac:dyDescent="0.3">
      <c r="A39" s="22"/>
      <c r="B39" s="3">
        <v>0</v>
      </c>
      <c r="C39" s="3">
        <v>0.69</v>
      </c>
      <c r="D39" s="3">
        <f t="shared" si="13"/>
        <v>0.72750000000000004</v>
      </c>
      <c r="E39" s="3">
        <f t="shared" si="14"/>
        <v>-3.7500000000000089E-2</v>
      </c>
      <c r="F39" s="3">
        <f t="shared" si="15"/>
        <v>3.7500000000000089E-2</v>
      </c>
      <c r="G39" s="3">
        <f t="shared" si="16"/>
        <v>1.4062500000000067E-3</v>
      </c>
    </row>
    <row r="40" spans="1:7" x14ac:dyDescent="0.3">
      <c r="A40" s="22"/>
      <c r="B40" s="3" t="s">
        <v>312</v>
      </c>
      <c r="C40" s="3">
        <v>0</v>
      </c>
      <c r="D40" s="3">
        <f t="shared" si="13"/>
        <v>0.69</v>
      </c>
      <c r="E40" s="3">
        <f t="shared" si="14"/>
        <v>-0.69</v>
      </c>
      <c r="F40" s="3">
        <f t="shared" si="15"/>
        <v>0.69</v>
      </c>
      <c r="G40" s="3">
        <f t="shared" si="16"/>
        <v>0.47609999999999991</v>
      </c>
    </row>
    <row r="41" spans="1:7" x14ac:dyDescent="0.3">
      <c r="A41" s="23"/>
      <c r="B41" s="3" t="s">
        <v>313</v>
      </c>
      <c r="C41" s="3">
        <v>0</v>
      </c>
      <c r="D41" s="3">
        <f t="shared" si="13"/>
        <v>0.52</v>
      </c>
      <c r="E41" s="3">
        <f t="shared" si="14"/>
        <v>-0.52</v>
      </c>
      <c r="F41" s="3">
        <f t="shared" si="15"/>
        <v>0.52</v>
      </c>
      <c r="G41" s="3">
        <f t="shared" si="16"/>
        <v>0.27040000000000003</v>
      </c>
    </row>
    <row r="42" spans="1:7" x14ac:dyDescent="0.3">
      <c r="A42" s="21" t="s">
        <v>310</v>
      </c>
      <c r="B42" s="3">
        <v>8</v>
      </c>
      <c r="C42" s="3">
        <v>0.87</v>
      </c>
      <c r="D42" s="3"/>
      <c r="E42" s="3"/>
      <c r="F42" s="3"/>
      <c r="G42" s="12"/>
    </row>
    <row r="43" spans="1:7" x14ac:dyDescent="0.3">
      <c r="A43" s="22"/>
      <c r="B43" s="3">
        <v>9</v>
      </c>
      <c r="C43" s="3">
        <v>0.92</v>
      </c>
      <c r="E43" s="2"/>
      <c r="F43" s="2"/>
      <c r="G43" s="2"/>
    </row>
    <row r="44" spans="1:7" x14ac:dyDescent="0.3">
      <c r="A44" s="22"/>
      <c r="B44" s="3">
        <v>10</v>
      </c>
      <c r="C44" s="3">
        <v>1.1100000000000001</v>
      </c>
      <c r="D44" s="2"/>
      <c r="E44" s="2"/>
      <c r="F44" s="2"/>
      <c r="G44" s="2"/>
    </row>
    <row r="45" spans="1:7" x14ac:dyDescent="0.3">
      <c r="A45" s="22"/>
      <c r="B45" s="3">
        <v>11</v>
      </c>
      <c r="C45" s="3">
        <v>0.79</v>
      </c>
      <c r="D45" s="2"/>
      <c r="E45" s="2"/>
      <c r="F45" s="2"/>
      <c r="G45" s="2"/>
    </row>
    <row r="46" spans="1:7" x14ac:dyDescent="0.3">
      <c r="A46" s="22"/>
      <c r="B46" s="3">
        <v>12</v>
      </c>
      <c r="C46" s="3">
        <v>4.08</v>
      </c>
      <c r="D46" s="3">
        <f>AVERAGE(C42:C45)</f>
        <v>0.9225000000000001</v>
      </c>
      <c r="E46" s="3">
        <f>C46-D46</f>
        <v>3.1574999999999998</v>
      </c>
      <c r="F46" s="3">
        <f>ABS(E46)</f>
        <v>3.1574999999999998</v>
      </c>
      <c r="G46" s="3">
        <f>E46^2</f>
        <v>9.9698062499999978</v>
      </c>
    </row>
    <row r="47" spans="1:7" x14ac:dyDescent="0.3">
      <c r="A47" s="22"/>
      <c r="B47" s="3">
        <v>16</v>
      </c>
      <c r="C47" s="3">
        <v>0.67</v>
      </c>
      <c r="D47" s="3">
        <f t="shared" ref="D47:D51" si="17">AVERAGE(C43:C46)</f>
        <v>1.7250000000000001</v>
      </c>
      <c r="E47" s="3">
        <f t="shared" ref="E47:E51" si="18">C47-D47</f>
        <v>-1.0550000000000002</v>
      </c>
      <c r="F47" s="3">
        <f t="shared" ref="F47:F51" si="19">ABS(E47)</f>
        <v>1.0550000000000002</v>
      </c>
      <c r="G47" s="3">
        <f t="shared" ref="G47:G51" si="20">E47^2</f>
        <v>1.1130250000000004</v>
      </c>
    </row>
    <row r="48" spans="1:7" x14ac:dyDescent="0.3">
      <c r="A48" s="22"/>
      <c r="B48" s="3">
        <v>20</v>
      </c>
      <c r="C48" s="3">
        <v>0.42</v>
      </c>
      <c r="D48" s="3">
        <f t="shared" si="17"/>
        <v>1.6625000000000001</v>
      </c>
      <c r="E48" s="3">
        <f t="shared" si="18"/>
        <v>-1.2425000000000002</v>
      </c>
      <c r="F48" s="3">
        <f t="shared" si="19"/>
        <v>1.2425000000000002</v>
      </c>
      <c r="G48" s="3">
        <f t="shared" si="20"/>
        <v>1.5438062500000005</v>
      </c>
    </row>
    <row r="49" spans="1:7" x14ac:dyDescent="0.3">
      <c r="A49" s="22"/>
      <c r="B49" s="3">
        <v>0</v>
      </c>
      <c r="C49" s="3">
        <v>0.92</v>
      </c>
      <c r="D49" s="3">
        <f t="shared" si="17"/>
        <v>1.49</v>
      </c>
      <c r="E49" s="3">
        <f t="shared" si="18"/>
        <v>-0.56999999999999995</v>
      </c>
      <c r="F49" s="3">
        <f t="shared" si="19"/>
        <v>0.56999999999999995</v>
      </c>
      <c r="G49" s="3">
        <f t="shared" si="20"/>
        <v>0.32489999999999997</v>
      </c>
    </row>
    <row r="50" spans="1:7" x14ac:dyDescent="0.3">
      <c r="A50" s="22"/>
      <c r="B50" s="3" t="s">
        <v>312</v>
      </c>
      <c r="C50" s="3">
        <v>0</v>
      </c>
      <c r="D50" s="3">
        <f t="shared" si="17"/>
        <v>1.5225</v>
      </c>
      <c r="E50" s="3">
        <f t="shared" si="18"/>
        <v>-1.5225</v>
      </c>
      <c r="F50" s="3">
        <f t="shared" si="19"/>
        <v>1.5225</v>
      </c>
      <c r="G50" s="3">
        <f t="shared" si="20"/>
        <v>2.3180062499999998</v>
      </c>
    </row>
    <row r="51" spans="1:7" x14ac:dyDescent="0.3">
      <c r="A51" s="23"/>
      <c r="B51" s="3" t="s">
        <v>313</v>
      </c>
      <c r="C51" s="3">
        <v>0</v>
      </c>
      <c r="D51" s="3">
        <f t="shared" si="17"/>
        <v>0.50250000000000006</v>
      </c>
      <c r="E51" s="3">
        <f t="shared" si="18"/>
        <v>-0.50250000000000006</v>
      </c>
      <c r="F51" s="3">
        <f t="shared" si="19"/>
        <v>0.50250000000000006</v>
      </c>
      <c r="G51" s="3">
        <f t="shared" si="20"/>
        <v>0.25250625000000004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C82A-890C-4048-972A-F055BCDD041A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44140625" style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331</v>
      </c>
      <c r="D1" s="10" t="s">
        <v>330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3">
        <v>0.01</v>
      </c>
      <c r="D2" s="3"/>
      <c r="E2" s="3"/>
      <c r="F2" s="3"/>
      <c r="G2" s="12"/>
    </row>
    <row r="3" spans="1:15" x14ac:dyDescent="0.3">
      <c r="A3" s="22"/>
      <c r="B3" s="3">
        <v>9</v>
      </c>
      <c r="C3" s="3">
        <v>0</v>
      </c>
      <c r="D3" s="3"/>
      <c r="E3" s="3"/>
      <c r="F3" s="3"/>
      <c r="G3" s="12"/>
    </row>
    <row r="4" spans="1:15" x14ac:dyDescent="0.3">
      <c r="A4" s="22"/>
      <c r="B4" s="3">
        <v>10</v>
      </c>
      <c r="C4" s="3">
        <v>0</v>
      </c>
      <c r="D4" s="3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3">
        <v>0.01</v>
      </c>
      <c r="D5" s="3"/>
      <c r="E5" s="3"/>
      <c r="F5" s="3"/>
      <c r="G5" s="12"/>
      <c r="J5" s="2" t="s">
        <v>297</v>
      </c>
      <c r="K5" s="3">
        <f>AVERAGE(E6:E11)</f>
        <v>-1.2500000000000002E-3</v>
      </c>
      <c r="L5" s="3">
        <f>AVERAGE(F6:F11)</f>
        <v>3.7499999999999999E-3</v>
      </c>
      <c r="M5" s="3">
        <f>AVERAGE(G6:G11)</f>
        <v>1.7708333333333335E-5</v>
      </c>
      <c r="N5" s="3">
        <f>SQRT(M5)</f>
        <v>4.2081270576508657E-3</v>
      </c>
      <c r="O5" s="3">
        <f>N5/AVERAGE(C6:C11)*100</f>
        <v>252.48762345905195</v>
      </c>
    </row>
    <row r="6" spans="1:15" x14ac:dyDescent="0.3">
      <c r="A6" s="22"/>
      <c r="B6" s="3">
        <v>12</v>
      </c>
      <c r="C6" s="3">
        <v>0</v>
      </c>
      <c r="D6" s="3">
        <f>AVERAGE(C2:C5)</f>
        <v>5.0000000000000001E-3</v>
      </c>
      <c r="E6" s="3">
        <f>C6-D6</f>
        <v>-5.0000000000000001E-3</v>
      </c>
      <c r="F6" s="3">
        <f>ABS(E6)</f>
        <v>5.0000000000000001E-3</v>
      </c>
      <c r="G6" s="3">
        <f>E6^2</f>
        <v>2.5000000000000001E-5</v>
      </c>
      <c r="J6" s="2">
        <v>33</v>
      </c>
      <c r="K6" s="3">
        <f>AVERAGE(E16:E21)</f>
        <v>-2.9166666666666664E-3</v>
      </c>
      <c r="L6" s="3">
        <f>AVERAGE(F16:F21)</f>
        <v>4.5833333333333334E-3</v>
      </c>
      <c r="M6" s="3">
        <f>AVERAGE(G16:G21)</f>
        <v>2.8124999999999996E-5</v>
      </c>
      <c r="N6" s="3">
        <f t="shared" ref="N6:N9" si="0">SQRT(M6)</f>
        <v>5.3033008588991059E-3</v>
      </c>
      <c r="O6" s="3">
        <f>N6/AVERAGE(C16:C21)*100</f>
        <v>318.19805153394634</v>
      </c>
    </row>
    <row r="7" spans="1:15" x14ac:dyDescent="0.3">
      <c r="A7" s="22"/>
      <c r="B7" s="3">
        <v>16</v>
      </c>
      <c r="C7" s="3">
        <v>0</v>
      </c>
      <c r="D7" s="3">
        <f t="shared" ref="D7:D11" si="1">AVERAGE(C3:C6)</f>
        <v>2.5000000000000001E-3</v>
      </c>
      <c r="E7" s="3">
        <f t="shared" ref="E7:E11" si="2">C7-D7</f>
        <v>-2.5000000000000001E-3</v>
      </c>
      <c r="F7" s="3">
        <f t="shared" ref="F7:F11" si="3">ABS(E7)</f>
        <v>2.5000000000000001E-3</v>
      </c>
      <c r="G7" s="3">
        <f t="shared" ref="G7:G11" si="4">E7^2</f>
        <v>6.2500000000000003E-6</v>
      </c>
      <c r="J7" s="2">
        <v>46</v>
      </c>
      <c r="K7" s="3">
        <f>AVERAGE(E26:E31)</f>
        <v>-2.9166666666666664E-3</v>
      </c>
      <c r="L7" s="3">
        <f>AVERAGE(F26:F31)</f>
        <v>4.5833333333333334E-3</v>
      </c>
      <c r="M7" s="3">
        <f>AVERAGE(G26:G31)</f>
        <v>2.6041666666666668E-5</v>
      </c>
      <c r="N7" s="3">
        <f t="shared" si="0"/>
        <v>5.1031036307982881E-3</v>
      </c>
      <c r="O7" s="3">
        <f>N7/AVERAGE(C26:C31)*100</f>
        <v>153.09310892394862</v>
      </c>
    </row>
    <row r="8" spans="1:15" x14ac:dyDescent="0.3">
      <c r="A8" s="22"/>
      <c r="B8" s="3">
        <v>20</v>
      </c>
      <c r="C8" s="3">
        <v>0</v>
      </c>
      <c r="D8" s="3">
        <f t="shared" si="1"/>
        <v>2.5000000000000001E-3</v>
      </c>
      <c r="E8" s="3">
        <f t="shared" si="2"/>
        <v>-2.5000000000000001E-3</v>
      </c>
      <c r="F8" s="3">
        <f t="shared" si="3"/>
        <v>2.5000000000000001E-3</v>
      </c>
      <c r="G8" s="3">
        <f t="shared" si="4"/>
        <v>6.2500000000000003E-6</v>
      </c>
      <c r="J8" s="2" t="s">
        <v>309</v>
      </c>
      <c r="K8" s="3">
        <f>AVERAGE(E36:E41)</f>
        <v>4.1666666666666675E-4</v>
      </c>
      <c r="L8" s="3">
        <f>AVERAGE(F36:F41)</f>
        <v>4.1666666666666675E-4</v>
      </c>
      <c r="M8" s="3">
        <f>AVERAGE(G36:G41)</f>
        <v>1.0416666666666671E-6</v>
      </c>
      <c r="N8" s="3">
        <f t="shared" si="0"/>
        <v>1.0206207261596579E-3</v>
      </c>
      <c r="O8" s="3">
        <f>N8/AVERAGE(C36:C41)*100</f>
        <v>10.206207261596578</v>
      </c>
    </row>
    <row r="9" spans="1:15" x14ac:dyDescent="0.3">
      <c r="A9" s="22"/>
      <c r="B9" s="3">
        <v>0</v>
      </c>
      <c r="C9" s="3">
        <v>0.01</v>
      </c>
      <c r="D9" s="3">
        <f t="shared" si="1"/>
        <v>2.5000000000000001E-3</v>
      </c>
      <c r="E9" s="3">
        <f t="shared" si="2"/>
        <v>7.4999999999999997E-3</v>
      </c>
      <c r="F9" s="3">
        <f t="shared" si="3"/>
        <v>7.4999999999999997E-3</v>
      </c>
      <c r="G9" s="3">
        <f t="shared" si="4"/>
        <v>5.6249999999999998E-5</v>
      </c>
      <c r="J9" s="2" t="s">
        <v>310</v>
      </c>
      <c r="K9" s="3">
        <f>AVERAGE(E46:E51)</f>
        <v>-8.3333333333333306E-4</v>
      </c>
      <c r="L9" s="3">
        <f>AVERAGE(F46:F51)</f>
        <v>5.8333333333333336E-3</v>
      </c>
      <c r="M9" s="3">
        <f>AVERAGE(G46:G51)</f>
        <v>3.5416666666666669E-5</v>
      </c>
      <c r="N9" s="3">
        <f t="shared" si="0"/>
        <v>5.9511903571190421E-3</v>
      </c>
      <c r="O9" s="3">
        <f>N9/AVERAGE(C46:C51)*100</f>
        <v>119.02380714238083</v>
      </c>
    </row>
    <row r="10" spans="1:15" x14ac:dyDescent="0.3">
      <c r="A10" s="22"/>
      <c r="B10" s="3" t="s">
        <v>312</v>
      </c>
      <c r="C10" s="3">
        <v>0</v>
      </c>
      <c r="D10" s="3">
        <f t="shared" si="1"/>
        <v>2.5000000000000001E-3</v>
      </c>
      <c r="E10" s="3">
        <f t="shared" si="2"/>
        <v>-2.5000000000000001E-3</v>
      </c>
      <c r="F10" s="3">
        <f t="shared" si="3"/>
        <v>2.5000000000000001E-3</v>
      </c>
      <c r="G10" s="3">
        <f t="shared" si="4"/>
        <v>6.2500000000000003E-6</v>
      </c>
    </row>
    <row r="11" spans="1:15" x14ac:dyDescent="0.3">
      <c r="A11" s="23"/>
      <c r="B11" s="3" t="s">
        <v>313</v>
      </c>
      <c r="C11" s="3">
        <v>0</v>
      </c>
      <c r="D11" s="3">
        <f t="shared" si="1"/>
        <v>2.5000000000000001E-3</v>
      </c>
      <c r="E11" s="3">
        <f t="shared" si="2"/>
        <v>-2.5000000000000001E-3</v>
      </c>
      <c r="F11" s="3">
        <f t="shared" si="3"/>
        <v>2.5000000000000001E-3</v>
      </c>
      <c r="G11" s="3">
        <f t="shared" si="4"/>
        <v>6.2500000000000003E-6</v>
      </c>
    </row>
    <row r="12" spans="1:15" x14ac:dyDescent="0.3">
      <c r="A12" s="21">
        <v>33</v>
      </c>
      <c r="B12" s="9">
        <v>8</v>
      </c>
      <c r="C12" s="3">
        <v>0</v>
      </c>
      <c r="D12" s="3"/>
      <c r="E12" s="3"/>
      <c r="F12" s="3"/>
      <c r="G12" s="12"/>
      <c r="K12" s="4"/>
      <c r="L12" s="4"/>
      <c r="M12" s="4"/>
      <c r="N12" s="4"/>
    </row>
    <row r="13" spans="1:15" x14ac:dyDescent="0.3">
      <c r="A13" s="22"/>
      <c r="B13" s="3">
        <v>9</v>
      </c>
      <c r="C13" s="3">
        <v>0</v>
      </c>
      <c r="D13" s="3"/>
      <c r="E13" s="2"/>
      <c r="F13" s="2"/>
      <c r="G13" s="2"/>
      <c r="K13" s="4"/>
      <c r="L13" s="4"/>
      <c r="M13" s="4"/>
      <c r="N13" s="4"/>
    </row>
    <row r="14" spans="1:15" x14ac:dyDescent="0.3">
      <c r="A14" s="22"/>
      <c r="B14" s="3">
        <v>10</v>
      </c>
      <c r="C14" s="3">
        <v>0.01</v>
      </c>
      <c r="D14" s="3"/>
      <c r="E14" s="2"/>
      <c r="F14" s="2"/>
      <c r="G14" s="2"/>
      <c r="K14" s="4"/>
      <c r="L14" s="4"/>
      <c r="M14" s="4"/>
      <c r="N14" s="4"/>
    </row>
    <row r="15" spans="1:15" x14ac:dyDescent="0.3">
      <c r="A15" s="22"/>
      <c r="B15" s="3">
        <v>11</v>
      </c>
      <c r="C15" s="3">
        <v>0.01</v>
      </c>
      <c r="D15" s="3"/>
      <c r="E15" s="2"/>
      <c r="F15" s="2"/>
      <c r="G15" s="2"/>
      <c r="K15" s="4"/>
      <c r="L15" s="4"/>
      <c r="M15" s="4"/>
      <c r="N15" s="4"/>
    </row>
    <row r="16" spans="1:15" x14ac:dyDescent="0.3">
      <c r="A16" s="22"/>
      <c r="B16" s="3">
        <v>12</v>
      </c>
      <c r="C16" s="3">
        <v>0.01</v>
      </c>
      <c r="D16" s="3">
        <f>AVERAGE(C12:C15)</f>
        <v>5.0000000000000001E-3</v>
      </c>
      <c r="E16" s="3">
        <f>C16-D16</f>
        <v>5.0000000000000001E-3</v>
      </c>
      <c r="F16" s="3">
        <f>ABS(E16)</f>
        <v>5.0000000000000001E-3</v>
      </c>
      <c r="G16" s="3">
        <f>E16^2</f>
        <v>2.5000000000000001E-5</v>
      </c>
      <c r="K16" s="4"/>
      <c r="L16" s="4"/>
      <c r="M16" s="4"/>
      <c r="N16" s="4"/>
    </row>
    <row r="17" spans="1:7" x14ac:dyDescent="0.3">
      <c r="A17" s="22"/>
      <c r="B17" s="3">
        <v>16</v>
      </c>
      <c r="C17" s="3">
        <v>0</v>
      </c>
      <c r="D17" s="3">
        <f t="shared" ref="D17:D21" si="5">AVERAGE(C13:C16)</f>
        <v>7.4999999999999997E-3</v>
      </c>
      <c r="E17" s="3">
        <f t="shared" ref="E17:E21" si="6">C17-D17</f>
        <v>-7.4999999999999997E-3</v>
      </c>
      <c r="F17" s="3">
        <f t="shared" ref="F17:F21" si="7">ABS(E17)</f>
        <v>7.4999999999999997E-3</v>
      </c>
      <c r="G17" s="3">
        <f t="shared" ref="G17:G21" si="8">E17^2</f>
        <v>5.6249999999999998E-5</v>
      </c>
    </row>
    <row r="18" spans="1:7" x14ac:dyDescent="0.3">
      <c r="A18" s="22"/>
      <c r="B18" s="3">
        <v>20</v>
      </c>
      <c r="C18" s="3">
        <v>0</v>
      </c>
      <c r="D18" s="3">
        <f t="shared" si="5"/>
        <v>7.4999999999999997E-3</v>
      </c>
      <c r="E18" s="3">
        <f t="shared" si="6"/>
        <v>-7.4999999999999997E-3</v>
      </c>
      <c r="F18" s="3">
        <f t="shared" si="7"/>
        <v>7.4999999999999997E-3</v>
      </c>
      <c r="G18" s="3">
        <f t="shared" si="8"/>
        <v>5.6249999999999998E-5</v>
      </c>
    </row>
    <row r="19" spans="1:7" x14ac:dyDescent="0.3">
      <c r="A19" s="22"/>
      <c r="B19" s="3">
        <v>0</v>
      </c>
      <c r="C19" s="3">
        <v>0</v>
      </c>
      <c r="D19" s="3">
        <f t="shared" si="5"/>
        <v>5.0000000000000001E-3</v>
      </c>
      <c r="E19" s="3">
        <f t="shared" si="6"/>
        <v>-5.0000000000000001E-3</v>
      </c>
      <c r="F19" s="3">
        <f t="shared" si="7"/>
        <v>5.0000000000000001E-3</v>
      </c>
      <c r="G19" s="3">
        <f t="shared" si="8"/>
        <v>2.5000000000000001E-5</v>
      </c>
    </row>
    <row r="20" spans="1:7" x14ac:dyDescent="0.3">
      <c r="A20" s="22"/>
      <c r="B20" s="3" t="s">
        <v>312</v>
      </c>
      <c r="C20" s="3">
        <v>0</v>
      </c>
      <c r="D20" s="3">
        <f t="shared" si="5"/>
        <v>2.5000000000000001E-3</v>
      </c>
      <c r="E20" s="3">
        <f t="shared" si="6"/>
        <v>-2.5000000000000001E-3</v>
      </c>
      <c r="F20" s="3">
        <f t="shared" si="7"/>
        <v>2.5000000000000001E-3</v>
      </c>
      <c r="G20" s="3">
        <f t="shared" si="8"/>
        <v>6.2500000000000003E-6</v>
      </c>
    </row>
    <row r="21" spans="1:7" x14ac:dyDescent="0.3">
      <c r="A21" s="23"/>
      <c r="B21" s="3" t="s">
        <v>313</v>
      </c>
      <c r="C21" s="3"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</row>
    <row r="22" spans="1:7" x14ac:dyDescent="0.3">
      <c r="A22" s="21">
        <v>46</v>
      </c>
      <c r="B22" s="9">
        <v>8</v>
      </c>
      <c r="C22" s="3">
        <v>0.01</v>
      </c>
      <c r="D22" s="3"/>
      <c r="E22" s="3"/>
      <c r="F22" s="3"/>
      <c r="G22" s="12"/>
    </row>
    <row r="23" spans="1:7" x14ac:dyDescent="0.3">
      <c r="A23" s="22"/>
      <c r="B23" s="3">
        <v>9</v>
      </c>
      <c r="C23" s="3">
        <v>0.01</v>
      </c>
      <c r="D23" s="3"/>
      <c r="E23" s="2"/>
      <c r="F23" s="2"/>
      <c r="G23" s="2"/>
    </row>
    <row r="24" spans="1:7" x14ac:dyDescent="0.3">
      <c r="A24" s="22"/>
      <c r="B24" s="3">
        <v>10</v>
      </c>
      <c r="C24" s="3">
        <v>0</v>
      </c>
      <c r="D24" s="2"/>
      <c r="E24" s="2"/>
      <c r="F24" s="2"/>
      <c r="G24" s="2"/>
    </row>
    <row r="25" spans="1:7" x14ac:dyDescent="0.3">
      <c r="A25" s="22"/>
      <c r="B25" s="3">
        <v>11</v>
      </c>
      <c r="C25" s="3">
        <v>0.01</v>
      </c>
      <c r="D25" s="2"/>
      <c r="E25" s="2"/>
      <c r="F25" s="2"/>
      <c r="G25" s="2"/>
    </row>
    <row r="26" spans="1:7" x14ac:dyDescent="0.3">
      <c r="A26" s="22"/>
      <c r="B26" s="3">
        <v>12</v>
      </c>
      <c r="C26" s="3">
        <v>0.01</v>
      </c>
      <c r="D26" s="3">
        <f>AVERAGE(C22:C25)</f>
        <v>7.4999999999999997E-3</v>
      </c>
      <c r="E26" s="3">
        <f>C26-D26</f>
        <v>2.5000000000000005E-3</v>
      </c>
      <c r="F26" s="3">
        <f>ABS(E26)</f>
        <v>2.5000000000000005E-3</v>
      </c>
      <c r="G26" s="3">
        <f>E26^2</f>
        <v>6.2500000000000028E-6</v>
      </c>
    </row>
    <row r="27" spans="1:7" x14ac:dyDescent="0.3">
      <c r="A27" s="22"/>
      <c r="B27" s="3">
        <v>16</v>
      </c>
      <c r="C27" s="3">
        <v>0.01</v>
      </c>
      <c r="D27" s="3">
        <f t="shared" ref="D27:D31" si="9">AVERAGE(C23:C26)</f>
        <v>7.4999999999999997E-3</v>
      </c>
      <c r="E27" s="3">
        <f t="shared" ref="E27:E31" si="10">C27-D27</f>
        <v>2.5000000000000005E-3</v>
      </c>
      <c r="F27" s="3">
        <f t="shared" ref="F27:F31" si="11">ABS(E27)</f>
        <v>2.5000000000000005E-3</v>
      </c>
      <c r="G27" s="3">
        <f t="shared" ref="G27:G31" si="12">E27^2</f>
        <v>6.2500000000000028E-6</v>
      </c>
    </row>
    <row r="28" spans="1:7" x14ac:dyDescent="0.3">
      <c r="A28" s="22"/>
      <c r="B28" s="3">
        <v>20</v>
      </c>
      <c r="C28" s="3">
        <v>0</v>
      </c>
      <c r="D28" s="3">
        <f t="shared" si="9"/>
        <v>7.4999999999999997E-3</v>
      </c>
      <c r="E28" s="3">
        <f t="shared" si="10"/>
        <v>-7.4999999999999997E-3</v>
      </c>
      <c r="F28" s="3">
        <f t="shared" si="11"/>
        <v>7.4999999999999997E-3</v>
      </c>
      <c r="G28" s="3">
        <f t="shared" si="12"/>
        <v>5.6249999999999998E-5</v>
      </c>
    </row>
    <row r="29" spans="1:7" x14ac:dyDescent="0.3">
      <c r="A29" s="22"/>
      <c r="B29" s="3">
        <v>0</v>
      </c>
      <c r="C29" s="3">
        <v>0</v>
      </c>
      <c r="D29" s="3">
        <f t="shared" si="9"/>
        <v>7.4999999999999997E-3</v>
      </c>
      <c r="E29" s="3">
        <f t="shared" si="10"/>
        <v>-7.4999999999999997E-3</v>
      </c>
      <c r="F29" s="3">
        <f t="shared" si="11"/>
        <v>7.4999999999999997E-3</v>
      </c>
      <c r="G29" s="3">
        <f t="shared" si="12"/>
        <v>5.6249999999999998E-5</v>
      </c>
    </row>
    <row r="30" spans="1:7" x14ac:dyDescent="0.3">
      <c r="A30" s="22"/>
      <c r="B30" s="3" t="s">
        <v>312</v>
      </c>
      <c r="C30" s="3">
        <v>0</v>
      </c>
      <c r="D30" s="3">
        <f t="shared" si="9"/>
        <v>5.0000000000000001E-3</v>
      </c>
      <c r="E30" s="3">
        <f t="shared" si="10"/>
        <v>-5.0000000000000001E-3</v>
      </c>
      <c r="F30" s="3">
        <f t="shared" si="11"/>
        <v>5.0000000000000001E-3</v>
      </c>
      <c r="G30" s="3">
        <f t="shared" si="12"/>
        <v>2.5000000000000001E-5</v>
      </c>
    </row>
    <row r="31" spans="1:7" x14ac:dyDescent="0.3">
      <c r="A31" s="23"/>
      <c r="B31" s="3" t="s">
        <v>313</v>
      </c>
      <c r="C31" s="3">
        <v>0</v>
      </c>
      <c r="D31" s="3">
        <f t="shared" si="9"/>
        <v>2.5000000000000001E-3</v>
      </c>
      <c r="E31" s="3">
        <f t="shared" si="10"/>
        <v>-2.5000000000000001E-3</v>
      </c>
      <c r="F31" s="3">
        <f t="shared" si="11"/>
        <v>2.5000000000000001E-3</v>
      </c>
      <c r="G31" s="3">
        <f t="shared" si="12"/>
        <v>6.2500000000000003E-6</v>
      </c>
    </row>
    <row r="32" spans="1:7" x14ac:dyDescent="0.3">
      <c r="A32" s="21" t="s">
        <v>309</v>
      </c>
      <c r="B32" s="3">
        <v>8</v>
      </c>
      <c r="C32" s="3">
        <v>0</v>
      </c>
      <c r="D32" s="3"/>
      <c r="E32" s="3"/>
      <c r="F32" s="3"/>
      <c r="G32" s="12"/>
    </row>
    <row r="33" spans="1:7" x14ac:dyDescent="0.3">
      <c r="A33" s="22"/>
      <c r="B33" s="3">
        <v>9</v>
      </c>
      <c r="C33" s="3">
        <v>0.01</v>
      </c>
      <c r="D33" s="2"/>
      <c r="E33" s="2"/>
      <c r="F33" s="2"/>
      <c r="G33" s="2"/>
    </row>
    <row r="34" spans="1:7" x14ac:dyDescent="0.3">
      <c r="A34" s="22"/>
      <c r="B34" s="3">
        <v>10</v>
      </c>
      <c r="C34" s="3">
        <v>0.01</v>
      </c>
      <c r="D34" s="2"/>
      <c r="E34" s="2"/>
      <c r="F34" s="2"/>
      <c r="G34" s="2"/>
    </row>
    <row r="35" spans="1:7" x14ac:dyDescent="0.3">
      <c r="A35" s="22"/>
      <c r="B35" s="3">
        <v>11</v>
      </c>
      <c r="C35" s="3">
        <v>0.01</v>
      </c>
      <c r="D35" s="2"/>
      <c r="E35" s="2"/>
      <c r="F35" s="2"/>
      <c r="G35" s="2"/>
    </row>
    <row r="36" spans="1:7" x14ac:dyDescent="0.3">
      <c r="A36" s="22"/>
      <c r="B36" s="3">
        <v>12</v>
      </c>
      <c r="C36" s="3">
        <v>0.01</v>
      </c>
      <c r="D36" s="3">
        <f>AVERAGE(C32:C35)</f>
        <v>7.4999999999999997E-3</v>
      </c>
      <c r="E36" s="3">
        <f>C36-D36</f>
        <v>2.5000000000000005E-3</v>
      </c>
      <c r="F36" s="3">
        <f>ABS(E36)</f>
        <v>2.5000000000000005E-3</v>
      </c>
      <c r="G36" s="3">
        <f>E36^2</f>
        <v>6.2500000000000028E-6</v>
      </c>
    </row>
    <row r="37" spans="1:7" x14ac:dyDescent="0.3">
      <c r="A37" s="22"/>
      <c r="B37" s="3">
        <v>16</v>
      </c>
      <c r="C37" s="3">
        <v>0.01</v>
      </c>
      <c r="D37" s="3">
        <f t="shared" ref="D37:D41" si="13">AVERAGE(C33:C36)</f>
        <v>0.01</v>
      </c>
      <c r="E37" s="3">
        <f t="shared" ref="E37:E41" si="14">C37-D37</f>
        <v>0</v>
      </c>
      <c r="F37" s="3">
        <f t="shared" ref="F37:F41" si="15">ABS(E37)</f>
        <v>0</v>
      </c>
      <c r="G37" s="3">
        <f t="shared" ref="G37:G41" si="16">E37^2</f>
        <v>0</v>
      </c>
    </row>
    <row r="38" spans="1:7" x14ac:dyDescent="0.3">
      <c r="A38" s="22"/>
      <c r="B38" s="3">
        <v>20</v>
      </c>
      <c r="C38" s="3">
        <v>0.01</v>
      </c>
      <c r="D38" s="3">
        <f t="shared" si="13"/>
        <v>0.01</v>
      </c>
      <c r="E38" s="3">
        <f t="shared" si="14"/>
        <v>0</v>
      </c>
      <c r="F38" s="3">
        <f t="shared" si="15"/>
        <v>0</v>
      </c>
      <c r="G38" s="3">
        <f t="shared" si="16"/>
        <v>0</v>
      </c>
    </row>
    <row r="39" spans="1:7" x14ac:dyDescent="0.3">
      <c r="A39" s="22"/>
      <c r="B39" s="3">
        <v>0</v>
      </c>
      <c r="C39" s="3">
        <v>0.01</v>
      </c>
      <c r="D39" s="3">
        <f t="shared" si="13"/>
        <v>0.01</v>
      </c>
      <c r="E39" s="3">
        <f t="shared" si="14"/>
        <v>0</v>
      </c>
      <c r="F39" s="3">
        <f t="shared" si="15"/>
        <v>0</v>
      </c>
      <c r="G39" s="3">
        <f t="shared" si="16"/>
        <v>0</v>
      </c>
    </row>
    <row r="40" spans="1:7" x14ac:dyDescent="0.3">
      <c r="A40" s="22"/>
      <c r="B40" s="3" t="s">
        <v>312</v>
      </c>
      <c r="C40" s="3">
        <v>0.01</v>
      </c>
      <c r="D40" s="3">
        <f t="shared" si="13"/>
        <v>0.01</v>
      </c>
      <c r="E40" s="3">
        <f t="shared" si="14"/>
        <v>0</v>
      </c>
      <c r="F40" s="3">
        <f t="shared" si="15"/>
        <v>0</v>
      </c>
      <c r="G40" s="3">
        <f t="shared" si="16"/>
        <v>0</v>
      </c>
    </row>
    <row r="41" spans="1:7" x14ac:dyDescent="0.3">
      <c r="A41" s="23"/>
      <c r="B41" s="3" t="s">
        <v>313</v>
      </c>
      <c r="C41" s="3">
        <v>0.01</v>
      </c>
      <c r="D41" s="3">
        <f t="shared" si="13"/>
        <v>0.01</v>
      </c>
      <c r="E41" s="3">
        <f t="shared" si="14"/>
        <v>0</v>
      </c>
      <c r="F41" s="3">
        <f t="shared" si="15"/>
        <v>0</v>
      </c>
      <c r="G41" s="3">
        <f t="shared" si="16"/>
        <v>0</v>
      </c>
    </row>
    <row r="42" spans="1:7" x14ac:dyDescent="0.3">
      <c r="A42" s="21" t="s">
        <v>310</v>
      </c>
      <c r="B42" s="3">
        <v>8</v>
      </c>
      <c r="C42" s="3">
        <v>0.01</v>
      </c>
      <c r="D42" s="3"/>
      <c r="E42" s="3"/>
      <c r="F42" s="3"/>
      <c r="G42" s="12"/>
    </row>
    <row r="43" spans="1:7" x14ac:dyDescent="0.3">
      <c r="A43" s="22"/>
      <c r="B43" s="3">
        <v>9</v>
      </c>
      <c r="C43" s="3">
        <v>0.01</v>
      </c>
      <c r="E43" s="2"/>
      <c r="F43" s="2"/>
      <c r="G43" s="2"/>
    </row>
    <row r="44" spans="1:7" x14ac:dyDescent="0.3">
      <c r="A44" s="22"/>
      <c r="B44" s="3">
        <v>10</v>
      </c>
      <c r="C44" s="3">
        <v>0</v>
      </c>
      <c r="D44" s="2"/>
      <c r="E44" s="2"/>
      <c r="F44" s="2"/>
      <c r="G44" s="2"/>
    </row>
    <row r="45" spans="1:7" x14ac:dyDescent="0.3">
      <c r="A45" s="22"/>
      <c r="B45" s="3">
        <v>11</v>
      </c>
      <c r="C45" s="3">
        <v>0.01</v>
      </c>
      <c r="D45" s="2"/>
      <c r="E45" s="2"/>
      <c r="F45" s="2"/>
      <c r="G45" s="2"/>
    </row>
    <row r="46" spans="1:7" x14ac:dyDescent="0.3">
      <c r="A46" s="22"/>
      <c r="B46" s="3">
        <v>12</v>
      </c>
      <c r="C46" s="3">
        <v>0</v>
      </c>
      <c r="D46" s="3">
        <f>AVERAGE(C42:C45)</f>
        <v>7.4999999999999997E-3</v>
      </c>
      <c r="E46" s="3">
        <f>C46-D46</f>
        <v>-7.4999999999999997E-3</v>
      </c>
      <c r="F46" s="3">
        <f>ABS(E46)</f>
        <v>7.4999999999999997E-3</v>
      </c>
      <c r="G46" s="3">
        <f>E46^2</f>
        <v>5.6249999999999998E-5</v>
      </c>
    </row>
    <row r="47" spans="1:7" x14ac:dyDescent="0.3">
      <c r="A47" s="22"/>
      <c r="B47" s="3">
        <v>16</v>
      </c>
      <c r="C47" s="3">
        <v>0.01</v>
      </c>
      <c r="D47" s="3">
        <f t="shared" ref="D47:D51" si="17">AVERAGE(C43:C46)</f>
        <v>5.0000000000000001E-3</v>
      </c>
      <c r="E47" s="3">
        <f t="shared" ref="E47:E51" si="18">C47-D47</f>
        <v>5.0000000000000001E-3</v>
      </c>
      <c r="F47" s="3">
        <f t="shared" ref="F47:F51" si="19">ABS(E47)</f>
        <v>5.0000000000000001E-3</v>
      </c>
      <c r="G47" s="3">
        <f t="shared" ref="G47:G51" si="20">E47^2</f>
        <v>2.5000000000000001E-5</v>
      </c>
    </row>
    <row r="48" spans="1:7" x14ac:dyDescent="0.3">
      <c r="A48" s="22"/>
      <c r="B48" s="3">
        <v>20</v>
      </c>
      <c r="C48" s="3">
        <v>0.01</v>
      </c>
      <c r="D48" s="3">
        <f t="shared" si="17"/>
        <v>5.0000000000000001E-3</v>
      </c>
      <c r="E48" s="3">
        <f t="shared" si="18"/>
        <v>5.0000000000000001E-3</v>
      </c>
      <c r="F48" s="3">
        <f t="shared" si="19"/>
        <v>5.0000000000000001E-3</v>
      </c>
      <c r="G48" s="3">
        <f t="shared" si="20"/>
        <v>2.5000000000000001E-5</v>
      </c>
    </row>
    <row r="49" spans="1:7" x14ac:dyDescent="0.3">
      <c r="A49" s="22"/>
      <c r="B49" s="3">
        <v>0</v>
      </c>
      <c r="C49" s="3">
        <v>0</v>
      </c>
      <c r="D49" s="3">
        <f t="shared" si="17"/>
        <v>7.4999999999999997E-3</v>
      </c>
      <c r="E49" s="3">
        <f t="shared" si="18"/>
        <v>-7.4999999999999997E-3</v>
      </c>
      <c r="F49" s="3">
        <f t="shared" si="19"/>
        <v>7.4999999999999997E-3</v>
      </c>
      <c r="G49" s="3">
        <f t="shared" si="20"/>
        <v>5.6249999999999998E-5</v>
      </c>
    </row>
    <row r="50" spans="1:7" x14ac:dyDescent="0.3">
      <c r="A50" s="22"/>
      <c r="B50" s="3" t="s">
        <v>312</v>
      </c>
      <c r="C50" s="3">
        <v>0</v>
      </c>
      <c r="D50" s="3">
        <f t="shared" si="17"/>
        <v>5.0000000000000001E-3</v>
      </c>
      <c r="E50" s="3">
        <f t="shared" si="18"/>
        <v>-5.0000000000000001E-3</v>
      </c>
      <c r="F50" s="3">
        <f t="shared" si="19"/>
        <v>5.0000000000000001E-3</v>
      </c>
      <c r="G50" s="3">
        <f t="shared" si="20"/>
        <v>2.5000000000000001E-5</v>
      </c>
    </row>
    <row r="51" spans="1:7" x14ac:dyDescent="0.3">
      <c r="A51" s="23"/>
      <c r="B51" s="3" t="s">
        <v>313</v>
      </c>
      <c r="C51" s="3">
        <v>0.01</v>
      </c>
      <c r="D51" s="3">
        <f t="shared" si="17"/>
        <v>5.0000000000000001E-3</v>
      </c>
      <c r="E51" s="3">
        <f t="shared" si="18"/>
        <v>5.0000000000000001E-3</v>
      </c>
      <c r="F51" s="3">
        <f t="shared" si="19"/>
        <v>5.0000000000000001E-3</v>
      </c>
      <c r="G51" s="3">
        <f t="shared" si="20"/>
        <v>2.5000000000000001E-5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F628-D67B-4777-A28E-A1D356D7616B}">
  <dimension ref="A1:O51"/>
  <sheetViews>
    <sheetView workbookViewId="0">
      <pane ySplit="1" topLeftCell="A2" activePane="bottomLeft" state="frozen"/>
      <selection pane="bottomLeft" activeCell="P1" sqref="P1:P1048576"/>
    </sheetView>
  </sheetViews>
  <sheetFormatPr defaultRowHeight="15" x14ac:dyDescent="0.3"/>
  <cols>
    <col min="1" max="1" width="11.109375" style="1" customWidth="1"/>
    <col min="2" max="2" width="14" style="4" bestFit="1" customWidth="1"/>
    <col min="3" max="3" width="9.44140625" style="1" bestFit="1" customWidth="1"/>
    <col min="4" max="4" width="11.44140625" style="1" customWidth="1"/>
    <col min="5" max="5" width="10.44140625" style="1" customWidth="1"/>
    <col min="6" max="6" width="8.44140625" style="1" customWidth="1"/>
    <col min="7" max="7" width="13.109375" style="1" customWidth="1"/>
    <col min="8" max="16384" width="8.88671875" style="1"/>
  </cols>
  <sheetData>
    <row r="1" spans="1:15" ht="34.200000000000003" customHeight="1" x14ac:dyDescent="0.3">
      <c r="A1" s="2" t="s">
        <v>311</v>
      </c>
      <c r="B1" s="11" t="s">
        <v>0</v>
      </c>
      <c r="C1" s="2" t="s">
        <v>301</v>
      </c>
      <c r="D1" s="10" t="s">
        <v>332</v>
      </c>
      <c r="E1" s="10" t="s">
        <v>315</v>
      </c>
      <c r="F1" s="10" t="s">
        <v>316</v>
      </c>
      <c r="G1" s="2" t="s">
        <v>317</v>
      </c>
    </row>
    <row r="2" spans="1:15" x14ac:dyDescent="0.3">
      <c r="A2" s="21" t="s">
        <v>308</v>
      </c>
      <c r="B2" s="3">
        <v>8</v>
      </c>
      <c r="C2" s="3">
        <v>0</v>
      </c>
      <c r="D2" s="3"/>
      <c r="E2" s="3"/>
      <c r="F2" s="3"/>
      <c r="G2" s="12"/>
    </row>
    <row r="3" spans="1:15" x14ac:dyDescent="0.3">
      <c r="A3" s="22"/>
      <c r="B3" s="3">
        <v>9</v>
      </c>
      <c r="C3" s="3">
        <v>0</v>
      </c>
      <c r="D3" s="3"/>
      <c r="E3" s="3"/>
      <c r="F3" s="3"/>
      <c r="G3" s="12"/>
    </row>
    <row r="4" spans="1:15" x14ac:dyDescent="0.3">
      <c r="A4" s="22"/>
      <c r="B4" s="3">
        <v>10</v>
      </c>
      <c r="C4" s="3">
        <v>0</v>
      </c>
      <c r="D4" s="3"/>
      <c r="E4" s="3"/>
      <c r="F4" s="3"/>
      <c r="G4" s="12"/>
      <c r="J4" s="2" t="s">
        <v>335</v>
      </c>
      <c r="K4" s="2" t="s">
        <v>347</v>
      </c>
      <c r="L4" s="2" t="s">
        <v>346</v>
      </c>
      <c r="M4" s="2" t="s">
        <v>319</v>
      </c>
      <c r="N4" s="2" t="s">
        <v>320</v>
      </c>
      <c r="O4" s="2" t="s">
        <v>348</v>
      </c>
    </row>
    <row r="5" spans="1:15" ht="15" customHeight="1" x14ac:dyDescent="0.3">
      <c r="A5" s="22"/>
      <c r="B5" s="3">
        <v>11</v>
      </c>
      <c r="C5" s="3">
        <v>0.02</v>
      </c>
      <c r="D5" s="3"/>
      <c r="E5" s="3"/>
      <c r="F5" s="3"/>
      <c r="G5" s="12"/>
      <c r="J5" s="2" t="s">
        <v>297</v>
      </c>
      <c r="K5" s="3">
        <f>AVERAGE(E6:E11)</f>
        <v>-3.3333333333333335E-3</v>
      </c>
      <c r="L5" s="3">
        <f>AVERAGE(F6:F11)</f>
        <v>3.3333333333333335E-3</v>
      </c>
      <c r="M5" s="3">
        <f>AVERAGE(G6:G11)</f>
        <v>1.6666666666666667E-5</v>
      </c>
      <c r="N5" s="3">
        <f>SQRT(M5)</f>
        <v>4.0824829046386306E-3</v>
      </c>
      <c r="O5" s="3" t="e">
        <f>N5/AVERAGE(C6:C11)*100</f>
        <v>#DIV/0!</v>
      </c>
    </row>
    <row r="6" spans="1:15" x14ac:dyDescent="0.3">
      <c r="A6" s="22"/>
      <c r="B6" s="3">
        <v>12</v>
      </c>
      <c r="C6" s="3">
        <v>0</v>
      </c>
      <c r="D6" s="3">
        <f>AVERAGE(C2:C5)</f>
        <v>5.0000000000000001E-3</v>
      </c>
      <c r="E6" s="3">
        <f>C6-D6</f>
        <v>-5.0000000000000001E-3</v>
      </c>
      <c r="F6" s="3">
        <f>ABS(E6)</f>
        <v>5.0000000000000001E-3</v>
      </c>
      <c r="G6" s="3">
        <f>E6^2</f>
        <v>2.5000000000000001E-5</v>
      </c>
      <c r="J6" s="2">
        <v>33</v>
      </c>
      <c r="K6" s="3">
        <f>AVERAGE(E16:E21)</f>
        <v>-1.5833333333333335E-2</v>
      </c>
      <c r="L6" s="3">
        <f>AVERAGE(F16:F21)</f>
        <v>2.7499999999999997E-2</v>
      </c>
      <c r="M6" s="3">
        <f>AVERAGE(G16:G21)</f>
        <v>9.7916666666666681E-4</v>
      </c>
      <c r="N6" s="3">
        <f t="shared" ref="N6:N9" si="0">SQRT(M6)</f>
        <v>3.1291638925864312E-2</v>
      </c>
      <c r="O6" s="3">
        <f>N6/AVERAGE(C16:C21)*100</f>
        <v>312.91638925864311</v>
      </c>
    </row>
    <row r="7" spans="1:15" x14ac:dyDescent="0.3">
      <c r="A7" s="22"/>
      <c r="B7" s="3">
        <v>16</v>
      </c>
      <c r="C7" s="3">
        <v>0</v>
      </c>
      <c r="D7" s="3">
        <f t="shared" ref="D7:D11" si="1">AVERAGE(C3:C6)</f>
        <v>5.0000000000000001E-3</v>
      </c>
      <c r="E7" s="3">
        <f t="shared" ref="E7:E11" si="2">C7-D7</f>
        <v>-5.0000000000000001E-3</v>
      </c>
      <c r="F7" s="3">
        <f t="shared" ref="F7:F11" si="3">ABS(E7)</f>
        <v>5.0000000000000001E-3</v>
      </c>
      <c r="G7" s="3">
        <f t="shared" ref="G7:G11" si="4">E7^2</f>
        <v>2.5000000000000001E-5</v>
      </c>
      <c r="J7" s="2">
        <v>46</v>
      </c>
      <c r="K7" s="3">
        <f>AVERAGE(E26:E31)</f>
        <v>-2.0833333333333339E-2</v>
      </c>
      <c r="L7" s="3">
        <f>AVERAGE(F26:F31)</f>
        <v>2.2500000000000003E-2</v>
      </c>
      <c r="M7" s="3">
        <f>AVERAGE(G26:G31)</f>
        <v>7.9166666666666665E-4</v>
      </c>
      <c r="N7" s="3">
        <f t="shared" si="0"/>
        <v>2.8136571693556888E-2</v>
      </c>
      <c r="O7" s="3">
        <f>N7/AVERAGE(C26:C31)*100</f>
        <v>562.73143387113771</v>
      </c>
    </row>
    <row r="8" spans="1:15" x14ac:dyDescent="0.3">
      <c r="A8" s="22"/>
      <c r="B8" s="3">
        <v>20</v>
      </c>
      <c r="C8" s="3">
        <v>0</v>
      </c>
      <c r="D8" s="3">
        <f t="shared" si="1"/>
        <v>5.0000000000000001E-3</v>
      </c>
      <c r="E8" s="3">
        <f t="shared" si="2"/>
        <v>-5.0000000000000001E-3</v>
      </c>
      <c r="F8" s="3">
        <f t="shared" si="3"/>
        <v>5.0000000000000001E-3</v>
      </c>
      <c r="G8" s="3">
        <f t="shared" si="4"/>
        <v>2.5000000000000001E-5</v>
      </c>
      <c r="J8" s="2" t="s">
        <v>309</v>
      </c>
      <c r="K8" s="3">
        <f>AVERAGE(E36:E41)</f>
        <v>-3.6249999999999998E-2</v>
      </c>
      <c r="L8" s="3">
        <f>AVERAGE(F36:F41)</f>
        <v>3.9583333333333331E-2</v>
      </c>
      <c r="M8" s="3">
        <f>AVERAGE(G36:G41)</f>
        <v>3.9156249999999998E-3</v>
      </c>
      <c r="N8" s="3">
        <f t="shared" si="0"/>
        <v>6.2574955053919135E-2</v>
      </c>
      <c r="O8" s="3">
        <f>N8/AVERAGE(C36:C41)*100</f>
        <v>417.16636702612755</v>
      </c>
    </row>
    <row r="9" spans="1:15" x14ac:dyDescent="0.3">
      <c r="A9" s="22"/>
      <c r="B9" s="3">
        <v>0</v>
      </c>
      <c r="C9" s="3">
        <v>0</v>
      </c>
      <c r="D9" s="3">
        <f t="shared" si="1"/>
        <v>5.0000000000000001E-3</v>
      </c>
      <c r="E9" s="3">
        <f t="shared" si="2"/>
        <v>-5.0000000000000001E-3</v>
      </c>
      <c r="F9" s="3">
        <f t="shared" si="3"/>
        <v>5.0000000000000001E-3</v>
      </c>
      <c r="G9" s="3">
        <f t="shared" si="4"/>
        <v>2.5000000000000001E-5</v>
      </c>
      <c r="J9" s="2" t="s">
        <v>310</v>
      </c>
      <c r="K9" s="3">
        <f>AVERAGE(E46:E51)</f>
        <v>-1.6666666666666659E-3</v>
      </c>
      <c r="L9" s="3">
        <f>AVERAGE(F46:F51)</f>
        <v>2.8333333333333335E-2</v>
      </c>
      <c r="M9" s="3">
        <f>AVERAGE(G46:G51)</f>
        <v>1.0104166666666671E-3</v>
      </c>
      <c r="N9" s="3">
        <f t="shared" si="0"/>
        <v>3.1787051871267756E-2</v>
      </c>
      <c r="O9" s="3">
        <f>N9/AVERAGE(C46:C51)*100</f>
        <v>190.72231122760655</v>
      </c>
    </row>
    <row r="10" spans="1:15" x14ac:dyDescent="0.3">
      <c r="A10" s="22"/>
      <c r="B10" s="3" t="s">
        <v>312</v>
      </c>
      <c r="C10" s="3">
        <v>0</v>
      </c>
      <c r="D10" s="3">
        <f t="shared" si="1"/>
        <v>0</v>
      </c>
      <c r="E10" s="3">
        <f t="shared" si="2"/>
        <v>0</v>
      </c>
      <c r="F10" s="3">
        <f t="shared" si="3"/>
        <v>0</v>
      </c>
      <c r="G10" s="3">
        <f t="shared" si="4"/>
        <v>0</v>
      </c>
    </row>
    <row r="11" spans="1:15" x14ac:dyDescent="0.3">
      <c r="A11" s="23"/>
      <c r="B11" s="3" t="s">
        <v>313</v>
      </c>
      <c r="C11" s="3">
        <v>0</v>
      </c>
      <c r="D11" s="3">
        <f t="shared" si="1"/>
        <v>0</v>
      </c>
      <c r="E11" s="3">
        <f t="shared" si="2"/>
        <v>0</v>
      </c>
      <c r="F11" s="3">
        <f t="shared" si="3"/>
        <v>0</v>
      </c>
      <c r="G11" s="3">
        <f t="shared" si="4"/>
        <v>0</v>
      </c>
    </row>
    <row r="12" spans="1:15" x14ac:dyDescent="0.3">
      <c r="A12" s="21">
        <v>33</v>
      </c>
      <c r="B12" s="9">
        <v>8</v>
      </c>
      <c r="C12" s="3">
        <v>0</v>
      </c>
      <c r="D12" s="3"/>
      <c r="E12" s="3"/>
      <c r="F12" s="3"/>
      <c r="G12" s="12"/>
      <c r="K12" s="4"/>
      <c r="L12" s="4"/>
      <c r="M12" s="4"/>
      <c r="N12" s="4"/>
    </row>
    <row r="13" spans="1:15" x14ac:dyDescent="0.3">
      <c r="A13" s="22"/>
      <c r="B13" s="3">
        <v>9</v>
      </c>
      <c r="C13" s="3">
        <v>0</v>
      </c>
      <c r="D13" s="3"/>
      <c r="E13" s="2"/>
      <c r="F13" s="2"/>
      <c r="G13" s="2"/>
      <c r="K13" s="4"/>
      <c r="L13" s="4"/>
      <c r="M13" s="4"/>
      <c r="N13" s="4"/>
    </row>
    <row r="14" spans="1:15" x14ac:dyDescent="0.3">
      <c r="A14" s="22"/>
      <c r="B14" s="3">
        <v>10</v>
      </c>
      <c r="C14" s="3">
        <v>0.02</v>
      </c>
      <c r="D14" s="3"/>
      <c r="E14" s="2"/>
      <c r="F14" s="2"/>
      <c r="G14" s="2"/>
      <c r="K14" s="4"/>
      <c r="L14" s="4"/>
      <c r="M14" s="4"/>
      <c r="N14" s="4"/>
    </row>
    <row r="15" spans="1:15" x14ac:dyDescent="0.3">
      <c r="A15" s="22"/>
      <c r="B15" s="3">
        <v>11</v>
      </c>
      <c r="C15" s="3">
        <v>0.08</v>
      </c>
      <c r="D15" s="3"/>
      <c r="E15" s="2"/>
      <c r="F15" s="2"/>
      <c r="G15" s="2"/>
      <c r="K15" s="4"/>
      <c r="L15" s="4"/>
      <c r="M15" s="4"/>
      <c r="N15" s="4"/>
    </row>
    <row r="16" spans="1:15" x14ac:dyDescent="0.3">
      <c r="A16" s="22"/>
      <c r="B16" s="3">
        <v>12</v>
      </c>
      <c r="C16" s="3">
        <v>0.06</v>
      </c>
      <c r="D16" s="3">
        <f>AVERAGE(C12:C15)</f>
        <v>2.5000000000000001E-2</v>
      </c>
      <c r="E16" s="3">
        <f>C16-D16</f>
        <v>3.4999999999999996E-2</v>
      </c>
      <c r="F16" s="3">
        <f>ABS(E16)</f>
        <v>3.4999999999999996E-2</v>
      </c>
      <c r="G16" s="3">
        <f>E16^2</f>
        <v>1.2249999999999997E-3</v>
      </c>
      <c r="K16" s="4"/>
      <c r="L16" s="4"/>
      <c r="M16" s="4"/>
      <c r="N16" s="4"/>
    </row>
    <row r="17" spans="1:7" x14ac:dyDescent="0.3">
      <c r="A17" s="22"/>
      <c r="B17" s="3">
        <v>16</v>
      </c>
      <c r="C17" s="3">
        <v>0</v>
      </c>
      <c r="D17" s="3">
        <f t="shared" ref="D17:D21" si="5">AVERAGE(C13:C16)</f>
        <v>0.04</v>
      </c>
      <c r="E17" s="3">
        <f t="shared" ref="E17:E21" si="6">C17-D17</f>
        <v>-0.04</v>
      </c>
      <c r="F17" s="3">
        <f t="shared" ref="F17:F21" si="7">ABS(E17)</f>
        <v>0.04</v>
      </c>
      <c r="G17" s="3">
        <f t="shared" ref="G17:G21" si="8">E17^2</f>
        <v>1.6000000000000001E-3</v>
      </c>
    </row>
    <row r="18" spans="1:7" x14ac:dyDescent="0.3">
      <c r="A18" s="22"/>
      <c r="B18" s="3">
        <v>20</v>
      </c>
      <c r="C18" s="3">
        <v>0</v>
      </c>
      <c r="D18" s="3">
        <f t="shared" si="5"/>
        <v>0.04</v>
      </c>
      <c r="E18" s="3">
        <f t="shared" si="6"/>
        <v>-0.04</v>
      </c>
      <c r="F18" s="3">
        <f t="shared" si="7"/>
        <v>0.04</v>
      </c>
      <c r="G18" s="3">
        <f t="shared" si="8"/>
        <v>1.6000000000000001E-3</v>
      </c>
    </row>
    <row r="19" spans="1:7" x14ac:dyDescent="0.3">
      <c r="A19" s="22"/>
      <c r="B19" s="3">
        <v>0</v>
      </c>
      <c r="C19" s="3">
        <v>0</v>
      </c>
      <c r="D19" s="3">
        <f t="shared" si="5"/>
        <v>3.5000000000000003E-2</v>
      </c>
      <c r="E19" s="3">
        <f t="shared" si="6"/>
        <v>-3.5000000000000003E-2</v>
      </c>
      <c r="F19" s="3">
        <f t="shared" si="7"/>
        <v>3.5000000000000003E-2</v>
      </c>
      <c r="G19" s="3">
        <f t="shared" si="8"/>
        <v>1.2250000000000002E-3</v>
      </c>
    </row>
    <row r="20" spans="1:7" x14ac:dyDescent="0.3">
      <c r="A20" s="22"/>
      <c r="B20" s="3" t="s">
        <v>312</v>
      </c>
      <c r="C20" s="3">
        <v>0</v>
      </c>
      <c r="D20" s="3">
        <f t="shared" si="5"/>
        <v>1.4999999999999999E-2</v>
      </c>
      <c r="E20" s="3">
        <f t="shared" si="6"/>
        <v>-1.4999999999999999E-2</v>
      </c>
      <c r="F20" s="3">
        <f t="shared" si="7"/>
        <v>1.4999999999999999E-2</v>
      </c>
      <c r="G20" s="3">
        <f t="shared" si="8"/>
        <v>2.2499999999999999E-4</v>
      </c>
    </row>
    <row r="21" spans="1:7" x14ac:dyDescent="0.3">
      <c r="A21" s="23"/>
      <c r="B21" s="3" t="s">
        <v>313</v>
      </c>
      <c r="C21" s="3"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</row>
    <row r="22" spans="1:7" x14ac:dyDescent="0.3">
      <c r="A22" s="21">
        <v>46</v>
      </c>
      <c r="B22" s="9">
        <v>8</v>
      </c>
      <c r="C22" s="3">
        <v>0.1</v>
      </c>
      <c r="D22" s="3"/>
      <c r="E22" s="3"/>
      <c r="F22" s="3"/>
      <c r="G22" s="12"/>
    </row>
    <row r="23" spans="1:7" x14ac:dyDescent="0.3">
      <c r="A23" s="22"/>
      <c r="B23" s="3">
        <v>9</v>
      </c>
      <c r="C23" s="3">
        <v>0</v>
      </c>
      <c r="D23" s="3"/>
      <c r="E23" s="2"/>
      <c r="F23" s="2"/>
      <c r="G23" s="2"/>
    </row>
    <row r="24" spans="1:7" x14ac:dyDescent="0.3">
      <c r="A24" s="22"/>
      <c r="B24" s="3">
        <v>10</v>
      </c>
      <c r="C24" s="3">
        <v>0</v>
      </c>
      <c r="D24" s="2"/>
      <c r="E24" s="2"/>
      <c r="F24" s="2"/>
      <c r="G24" s="2"/>
    </row>
    <row r="25" spans="1:7" x14ac:dyDescent="0.3">
      <c r="A25" s="22"/>
      <c r="B25" s="3">
        <v>11</v>
      </c>
      <c r="C25" s="3">
        <v>0.1</v>
      </c>
      <c r="D25" s="2"/>
      <c r="E25" s="2"/>
      <c r="F25" s="2"/>
      <c r="G25" s="2"/>
    </row>
    <row r="26" spans="1:7" x14ac:dyDescent="0.3">
      <c r="A26" s="22"/>
      <c r="B26" s="3">
        <v>12</v>
      </c>
      <c r="C26" s="3">
        <v>0</v>
      </c>
      <c r="D26" s="3">
        <f>AVERAGE(C22:C25)</f>
        <v>0.05</v>
      </c>
      <c r="E26" s="3">
        <f>C26-D26</f>
        <v>-0.05</v>
      </c>
      <c r="F26" s="3">
        <f>ABS(E26)</f>
        <v>0.05</v>
      </c>
      <c r="G26" s="3">
        <f>E26^2</f>
        <v>2.5000000000000005E-3</v>
      </c>
    </row>
    <row r="27" spans="1:7" x14ac:dyDescent="0.3">
      <c r="A27" s="22"/>
      <c r="B27" s="3">
        <v>16</v>
      </c>
      <c r="C27" s="3">
        <v>0.03</v>
      </c>
      <c r="D27" s="3">
        <f t="shared" ref="D27:D31" si="9">AVERAGE(C23:C26)</f>
        <v>2.5000000000000001E-2</v>
      </c>
      <c r="E27" s="3">
        <f t="shared" ref="E27:E31" si="10">C27-D27</f>
        <v>4.9999999999999975E-3</v>
      </c>
      <c r="F27" s="3">
        <f t="shared" ref="F27:F31" si="11">ABS(E27)</f>
        <v>4.9999999999999975E-3</v>
      </c>
      <c r="G27" s="3">
        <f t="shared" ref="G27:G31" si="12">E27^2</f>
        <v>2.4999999999999974E-5</v>
      </c>
    </row>
    <row r="28" spans="1:7" x14ac:dyDescent="0.3">
      <c r="A28" s="22"/>
      <c r="B28" s="3">
        <v>20</v>
      </c>
      <c r="C28" s="3">
        <v>0</v>
      </c>
      <c r="D28" s="3">
        <f t="shared" si="9"/>
        <v>3.2500000000000001E-2</v>
      </c>
      <c r="E28" s="3">
        <f t="shared" si="10"/>
        <v>-3.2500000000000001E-2</v>
      </c>
      <c r="F28" s="3">
        <f t="shared" si="11"/>
        <v>3.2500000000000001E-2</v>
      </c>
      <c r="G28" s="3">
        <f t="shared" si="12"/>
        <v>1.0562500000000001E-3</v>
      </c>
    </row>
    <row r="29" spans="1:7" x14ac:dyDescent="0.3">
      <c r="A29" s="22"/>
      <c r="B29" s="3">
        <v>0</v>
      </c>
      <c r="C29" s="3">
        <v>0</v>
      </c>
      <c r="D29" s="3">
        <f t="shared" si="9"/>
        <v>3.2500000000000001E-2</v>
      </c>
      <c r="E29" s="3">
        <f t="shared" si="10"/>
        <v>-3.2500000000000001E-2</v>
      </c>
      <c r="F29" s="3">
        <f t="shared" si="11"/>
        <v>3.2500000000000001E-2</v>
      </c>
      <c r="G29" s="3">
        <f t="shared" si="12"/>
        <v>1.0562500000000001E-3</v>
      </c>
    </row>
    <row r="30" spans="1:7" x14ac:dyDescent="0.3">
      <c r="A30" s="22"/>
      <c r="B30" s="3" t="s">
        <v>312</v>
      </c>
      <c r="C30" s="3">
        <v>0</v>
      </c>
      <c r="D30" s="3">
        <f t="shared" si="9"/>
        <v>7.4999999999999997E-3</v>
      </c>
      <c r="E30" s="3">
        <f t="shared" si="10"/>
        <v>-7.4999999999999997E-3</v>
      </c>
      <c r="F30" s="3">
        <f t="shared" si="11"/>
        <v>7.4999999999999997E-3</v>
      </c>
      <c r="G30" s="3">
        <f t="shared" si="12"/>
        <v>5.6249999999999998E-5</v>
      </c>
    </row>
    <row r="31" spans="1:7" x14ac:dyDescent="0.3">
      <c r="A31" s="23"/>
      <c r="B31" s="3" t="s">
        <v>313</v>
      </c>
      <c r="C31" s="3">
        <v>0</v>
      </c>
      <c r="D31" s="3">
        <f t="shared" si="9"/>
        <v>7.4999999999999997E-3</v>
      </c>
      <c r="E31" s="3">
        <f t="shared" si="10"/>
        <v>-7.4999999999999997E-3</v>
      </c>
      <c r="F31" s="3">
        <f t="shared" si="11"/>
        <v>7.4999999999999997E-3</v>
      </c>
      <c r="G31" s="3">
        <f t="shared" si="12"/>
        <v>5.6249999999999998E-5</v>
      </c>
    </row>
    <row r="32" spans="1:7" x14ac:dyDescent="0.3">
      <c r="A32" s="21" t="s">
        <v>309</v>
      </c>
      <c r="B32" s="3">
        <v>8</v>
      </c>
      <c r="C32" s="3">
        <v>0.47</v>
      </c>
      <c r="D32" s="3"/>
      <c r="E32" s="3"/>
      <c r="F32" s="3"/>
      <c r="G32" s="12"/>
    </row>
    <row r="33" spans="1:7" x14ac:dyDescent="0.3">
      <c r="A33" s="22"/>
      <c r="B33" s="3">
        <v>9</v>
      </c>
      <c r="C33" s="3">
        <v>0.01</v>
      </c>
      <c r="D33" s="2"/>
      <c r="E33" s="2"/>
      <c r="F33" s="2"/>
      <c r="G33" s="2"/>
    </row>
    <row r="34" spans="1:7" x14ac:dyDescent="0.3">
      <c r="A34" s="22"/>
      <c r="B34" s="3">
        <v>10</v>
      </c>
      <c r="C34" s="3">
        <v>0.13</v>
      </c>
      <c r="D34" s="2"/>
      <c r="E34" s="2"/>
      <c r="F34" s="2"/>
      <c r="G34" s="2"/>
    </row>
    <row r="35" spans="1:7" x14ac:dyDescent="0.3">
      <c r="A35" s="22"/>
      <c r="B35" s="3">
        <v>11</v>
      </c>
      <c r="C35" s="3">
        <v>0.02</v>
      </c>
      <c r="D35" s="2"/>
      <c r="E35" s="2"/>
      <c r="F35" s="2"/>
      <c r="G35" s="2"/>
    </row>
    <row r="36" spans="1:7" x14ac:dyDescent="0.3">
      <c r="A36" s="22"/>
      <c r="B36" s="3">
        <v>12</v>
      </c>
      <c r="C36" s="3">
        <v>0.01</v>
      </c>
      <c r="D36" s="3">
        <f>AVERAGE(C32:C35)</f>
        <v>0.1575</v>
      </c>
      <c r="E36" s="3">
        <f>C36-D36</f>
        <v>-0.14749999999999999</v>
      </c>
      <c r="F36" s="3">
        <f>ABS(E36)</f>
        <v>0.14749999999999999</v>
      </c>
      <c r="G36" s="3">
        <f>E36^2</f>
        <v>2.1756249999999998E-2</v>
      </c>
    </row>
    <row r="37" spans="1:7" x14ac:dyDescent="0.3">
      <c r="A37" s="22"/>
      <c r="B37" s="3">
        <v>16</v>
      </c>
      <c r="C37" s="3">
        <v>0.02</v>
      </c>
      <c r="D37" s="3">
        <f t="shared" ref="D37:D41" si="13">AVERAGE(C33:C36)</f>
        <v>4.2500000000000003E-2</v>
      </c>
      <c r="E37" s="3">
        <f t="shared" ref="E37:E41" si="14">C37-D37</f>
        <v>-2.2500000000000003E-2</v>
      </c>
      <c r="F37" s="3">
        <f t="shared" ref="F37:F41" si="15">ABS(E37)</f>
        <v>2.2500000000000003E-2</v>
      </c>
      <c r="G37" s="3">
        <f t="shared" ref="G37:G41" si="16">E37^2</f>
        <v>5.0625000000000008E-4</v>
      </c>
    </row>
    <row r="38" spans="1:7" x14ac:dyDescent="0.3">
      <c r="A38" s="22"/>
      <c r="B38" s="3">
        <v>20</v>
      </c>
      <c r="C38" s="3">
        <v>0.03</v>
      </c>
      <c r="D38" s="3">
        <f t="shared" si="13"/>
        <v>4.4999999999999998E-2</v>
      </c>
      <c r="E38" s="3">
        <f t="shared" si="14"/>
        <v>-1.4999999999999999E-2</v>
      </c>
      <c r="F38" s="3">
        <f t="shared" si="15"/>
        <v>1.4999999999999999E-2</v>
      </c>
      <c r="G38" s="3">
        <f t="shared" si="16"/>
        <v>2.2499999999999999E-4</v>
      </c>
    </row>
    <row r="39" spans="1:7" x14ac:dyDescent="0.3">
      <c r="A39" s="22"/>
      <c r="B39" s="3">
        <v>0</v>
      </c>
      <c r="C39" s="3">
        <v>0.03</v>
      </c>
      <c r="D39" s="3">
        <f t="shared" si="13"/>
        <v>0.02</v>
      </c>
      <c r="E39" s="3">
        <f t="shared" si="14"/>
        <v>9.9999999999999985E-3</v>
      </c>
      <c r="F39" s="3">
        <f t="shared" si="15"/>
        <v>9.9999999999999985E-3</v>
      </c>
      <c r="G39" s="3">
        <f t="shared" si="16"/>
        <v>9.9999999999999964E-5</v>
      </c>
    </row>
    <row r="40" spans="1:7" x14ac:dyDescent="0.3">
      <c r="A40" s="22"/>
      <c r="B40" s="3" t="s">
        <v>312</v>
      </c>
      <c r="C40" s="3">
        <v>0</v>
      </c>
      <c r="D40" s="3">
        <f t="shared" si="13"/>
        <v>2.2499999999999999E-2</v>
      </c>
      <c r="E40" s="3">
        <f t="shared" si="14"/>
        <v>-2.2499999999999999E-2</v>
      </c>
      <c r="F40" s="3">
        <f t="shared" si="15"/>
        <v>2.2499999999999999E-2</v>
      </c>
      <c r="G40" s="3">
        <f t="shared" si="16"/>
        <v>5.0624999999999997E-4</v>
      </c>
    </row>
    <row r="41" spans="1:7" x14ac:dyDescent="0.3">
      <c r="A41" s="23"/>
      <c r="B41" s="3" t="s">
        <v>313</v>
      </c>
      <c r="C41" s="3">
        <v>0</v>
      </c>
      <c r="D41" s="3">
        <f t="shared" si="13"/>
        <v>0.02</v>
      </c>
      <c r="E41" s="3">
        <f t="shared" si="14"/>
        <v>-0.02</v>
      </c>
      <c r="F41" s="3">
        <f t="shared" si="15"/>
        <v>0.02</v>
      </c>
      <c r="G41" s="3">
        <f t="shared" si="16"/>
        <v>4.0000000000000002E-4</v>
      </c>
    </row>
    <row r="42" spans="1:7" x14ac:dyDescent="0.3">
      <c r="A42" s="21" t="s">
        <v>310</v>
      </c>
      <c r="B42" s="3">
        <v>8</v>
      </c>
      <c r="C42" s="3">
        <v>0.01</v>
      </c>
      <c r="D42" s="3"/>
      <c r="E42" s="3"/>
      <c r="F42" s="3"/>
      <c r="G42" s="12"/>
    </row>
    <row r="43" spans="1:7" x14ac:dyDescent="0.3">
      <c r="A43" s="22"/>
      <c r="B43" s="3">
        <v>9</v>
      </c>
      <c r="C43" s="3">
        <v>0.01</v>
      </c>
      <c r="E43" s="2"/>
      <c r="F43" s="2"/>
      <c r="G43" s="2"/>
    </row>
    <row r="44" spans="1:7" x14ac:dyDescent="0.3">
      <c r="A44" s="22"/>
      <c r="B44" s="3">
        <v>10</v>
      </c>
      <c r="C44" s="3">
        <v>0</v>
      </c>
      <c r="D44" s="2"/>
      <c r="E44" s="2"/>
      <c r="F44" s="2"/>
      <c r="G44" s="2"/>
    </row>
    <row r="45" spans="1:7" x14ac:dyDescent="0.3">
      <c r="A45" s="22"/>
      <c r="B45" s="3">
        <v>11</v>
      </c>
      <c r="C45" s="3">
        <v>0.02</v>
      </c>
      <c r="D45" s="2"/>
      <c r="E45" s="2"/>
      <c r="F45" s="2"/>
      <c r="G45" s="2"/>
    </row>
    <row r="46" spans="1:7" x14ac:dyDescent="0.3">
      <c r="A46" s="22"/>
      <c r="B46" s="3">
        <v>12</v>
      </c>
      <c r="C46" s="3">
        <v>0</v>
      </c>
      <c r="D46" s="3">
        <f>AVERAGE(C42:C45)</f>
        <v>0.01</v>
      </c>
      <c r="E46" s="3">
        <f>C46-D46</f>
        <v>-0.01</v>
      </c>
      <c r="F46" s="3">
        <f>ABS(E46)</f>
        <v>0.01</v>
      </c>
      <c r="G46" s="3">
        <f>E46^2</f>
        <v>1E-4</v>
      </c>
    </row>
    <row r="47" spans="1:7" x14ac:dyDescent="0.3">
      <c r="A47" s="22"/>
      <c r="B47" s="3">
        <v>16</v>
      </c>
      <c r="C47" s="3">
        <v>0.03</v>
      </c>
      <c r="D47" s="3">
        <f t="shared" ref="D47:D51" si="17">AVERAGE(C43:C46)</f>
        <v>7.4999999999999997E-3</v>
      </c>
      <c r="E47" s="3">
        <f t="shared" ref="E47:E51" si="18">C47-D47</f>
        <v>2.2499999999999999E-2</v>
      </c>
      <c r="F47" s="3">
        <f t="shared" ref="F47:F51" si="19">ABS(E47)</f>
        <v>2.2499999999999999E-2</v>
      </c>
      <c r="G47" s="3">
        <f t="shared" ref="G47:G51" si="20">E47^2</f>
        <v>5.0624999999999997E-4</v>
      </c>
    </row>
    <row r="48" spans="1:7" x14ac:dyDescent="0.3">
      <c r="A48" s="22"/>
      <c r="B48" s="3">
        <v>20</v>
      </c>
      <c r="C48" s="3">
        <v>7.0000000000000007E-2</v>
      </c>
      <c r="D48" s="3">
        <f t="shared" si="17"/>
        <v>1.2500000000000001E-2</v>
      </c>
      <c r="E48" s="3">
        <f t="shared" si="18"/>
        <v>5.7500000000000009E-2</v>
      </c>
      <c r="F48" s="3">
        <f t="shared" si="19"/>
        <v>5.7500000000000009E-2</v>
      </c>
      <c r="G48" s="3">
        <f t="shared" si="20"/>
        <v>3.306250000000001E-3</v>
      </c>
    </row>
    <row r="49" spans="1:7" x14ac:dyDescent="0.3">
      <c r="A49" s="22"/>
      <c r="B49" s="3">
        <v>0</v>
      </c>
      <c r="C49" s="3">
        <v>0</v>
      </c>
      <c r="D49" s="3">
        <f t="shared" si="17"/>
        <v>3.0000000000000002E-2</v>
      </c>
      <c r="E49" s="3">
        <f t="shared" si="18"/>
        <v>-3.0000000000000002E-2</v>
      </c>
      <c r="F49" s="3">
        <f t="shared" si="19"/>
        <v>3.0000000000000002E-2</v>
      </c>
      <c r="G49" s="3">
        <f t="shared" si="20"/>
        <v>9.0000000000000019E-4</v>
      </c>
    </row>
    <row r="50" spans="1:7" x14ac:dyDescent="0.3">
      <c r="A50" s="22"/>
      <c r="B50" s="3" t="s">
        <v>312</v>
      </c>
      <c r="C50" s="3">
        <v>0</v>
      </c>
      <c r="D50" s="3">
        <f t="shared" si="17"/>
        <v>2.5000000000000001E-2</v>
      </c>
      <c r="E50" s="3">
        <f t="shared" si="18"/>
        <v>-2.5000000000000001E-2</v>
      </c>
      <c r="F50" s="3">
        <f t="shared" si="19"/>
        <v>2.5000000000000001E-2</v>
      </c>
      <c r="G50" s="3">
        <f t="shared" si="20"/>
        <v>6.2500000000000012E-4</v>
      </c>
    </row>
    <row r="51" spans="1:7" x14ac:dyDescent="0.3">
      <c r="A51" s="23"/>
      <c r="B51" s="3" t="s">
        <v>313</v>
      </c>
      <c r="C51" s="3">
        <v>0</v>
      </c>
      <c r="D51" s="3">
        <f t="shared" si="17"/>
        <v>2.5000000000000001E-2</v>
      </c>
      <c r="E51" s="3">
        <f t="shared" si="18"/>
        <v>-2.5000000000000001E-2</v>
      </c>
      <c r="F51" s="3">
        <f t="shared" si="19"/>
        <v>2.5000000000000001E-2</v>
      </c>
      <c r="G51" s="3">
        <f t="shared" si="20"/>
        <v>6.2500000000000012E-4</v>
      </c>
    </row>
  </sheetData>
  <mergeCells count="5">
    <mergeCell ref="A2:A11"/>
    <mergeCell ref="A12:A21"/>
    <mergeCell ref="A22:A31"/>
    <mergeCell ref="A32:A41"/>
    <mergeCell ref="A42:A5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A9E8-0B31-4252-AD7F-1AAA095E0AF8}">
  <dimension ref="A1:O26"/>
  <sheetViews>
    <sheetView zoomScale="80" zoomScaleNormal="80" workbookViewId="0">
      <pane ySplit="1" topLeftCell="A12" activePane="bottomLeft" state="frozen"/>
      <selection pane="bottomLeft" activeCell="K34" sqref="K34"/>
    </sheetView>
  </sheetViews>
  <sheetFormatPr defaultRowHeight="14.4" x14ac:dyDescent="0.3"/>
  <cols>
    <col min="1" max="1" width="13.33203125" customWidth="1"/>
    <col min="2" max="2" width="8.88671875" style="15"/>
    <col min="3" max="3" width="13.109375" style="20" customWidth="1"/>
    <col min="4" max="6" width="8.88671875" style="20"/>
    <col min="7" max="7" width="10.5546875" style="20" customWidth="1"/>
    <col min="8" max="8" width="13.33203125" style="20" customWidth="1"/>
    <col min="9" max="15" width="8.88671875" style="20"/>
    <col min="16" max="17" width="8.88671875" style="15"/>
    <col min="18" max="18" width="13.6640625" style="15" customWidth="1"/>
    <col min="19" max="19" width="8.88671875" style="15" customWidth="1"/>
    <col min="20" max="16384" width="8.88671875" style="15"/>
  </cols>
  <sheetData>
    <row r="1" spans="1:15" ht="21.6" customHeight="1" x14ac:dyDescent="0.25">
      <c r="A1" s="17" t="s">
        <v>350</v>
      </c>
      <c r="B1" s="17" t="s">
        <v>349</v>
      </c>
      <c r="C1" s="17" t="s">
        <v>337</v>
      </c>
      <c r="D1" s="17" t="s">
        <v>336</v>
      </c>
      <c r="E1" s="17" t="s">
        <v>2</v>
      </c>
      <c r="F1" s="17" t="s">
        <v>338</v>
      </c>
      <c r="G1" s="17" t="s">
        <v>339</v>
      </c>
      <c r="H1" s="17" t="s">
        <v>340</v>
      </c>
      <c r="I1" s="17" t="s">
        <v>341</v>
      </c>
      <c r="J1" s="17" t="s">
        <v>342</v>
      </c>
      <c r="K1" s="17" t="s">
        <v>343</v>
      </c>
      <c r="L1" s="17" t="s">
        <v>299</v>
      </c>
      <c r="M1" s="17" t="s">
        <v>344</v>
      </c>
      <c r="N1" s="17" t="s">
        <v>331</v>
      </c>
      <c r="O1" s="17" t="s">
        <v>345</v>
      </c>
    </row>
    <row r="2" spans="1:15" ht="15.6" x14ac:dyDescent="0.25">
      <c r="A2" s="24" t="s">
        <v>347</v>
      </c>
      <c r="B2" s="18" t="s">
        <v>297</v>
      </c>
      <c r="C2" s="19">
        <v>-0.12929166666666703</v>
      </c>
      <c r="D2" s="19">
        <v>-0.42958333333333315</v>
      </c>
      <c r="E2" s="19">
        <v>5.5208333333333449E-2</v>
      </c>
      <c r="F2" s="19">
        <v>-6.0583333333333327</v>
      </c>
      <c r="G2" s="19">
        <v>-0.13020833333333334</v>
      </c>
      <c r="H2" s="19">
        <v>-3.1124999999999923</v>
      </c>
      <c r="I2" s="19">
        <v>2.333333333333317E-3</v>
      </c>
      <c r="J2" s="19">
        <v>0.22916666666669508</v>
      </c>
      <c r="K2" s="16">
        <v>1.9583333333333331E-2</v>
      </c>
      <c r="L2" s="16">
        <v>-1.25E-3</v>
      </c>
      <c r="M2" s="16">
        <v>-1.3808333333333334</v>
      </c>
      <c r="N2" s="16">
        <v>-1.2500000000000002E-3</v>
      </c>
      <c r="O2" s="16">
        <v>-3.3333333333333335E-3</v>
      </c>
    </row>
    <row r="3" spans="1:15" ht="15.6" x14ac:dyDescent="0.25">
      <c r="A3" s="25"/>
      <c r="B3" s="18">
        <v>33</v>
      </c>
      <c r="C3" s="19">
        <v>-0.48833333333333268</v>
      </c>
      <c r="D3" s="19">
        <v>-0.66166666666666651</v>
      </c>
      <c r="E3" s="19">
        <v>-1.3374999999999618E-2</v>
      </c>
      <c r="F3" s="19">
        <v>-4.7416666666666787</v>
      </c>
      <c r="G3" s="19">
        <v>1.8036666666666665</v>
      </c>
      <c r="H3" s="19">
        <v>2.0749999999999695</v>
      </c>
      <c r="I3" s="19">
        <v>1.0138888888888975E-3</v>
      </c>
      <c r="J3" s="19">
        <v>0.88750000000000762</v>
      </c>
      <c r="K3" s="16">
        <v>9.1249999999999998E-2</v>
      </c>
      <c r="L3" s="16">
        <v>5.8333333333333336E-3</v>
      </c>
      <c r="M3" s="16">
        <v>-0.24</v>
      </c>
      <c r="N3" s="16">
        <v>-2.9166666666666664E-3</v>
      </c>
      <c r="O3" s="16">
        <v>-1.5833333333333335E-2</v>
      </c>
    </row>
    <row r="4" spans="1:15" ht="15.6" x14ac:dyDescent="0.25">
      <c r="A4" s="25"/>
      <c r="B4" s="18">
        <v>46</v>
      </c>
      <c r="C4" s="19">
        <v>-0.4691666666666669</v>
      </c>
      <c r="D4" s="19">
        <v>-0.64541666666666708</v>
      </c>
      <c r="E4" s="19">
        <v>4.6666666666670409E-3</v>
      </c>
      <c r="F4" s="19">
        <v>-4.5124999999999984</v>
      </c>
      <c r="G4" s="19">
        <v>0.59920833333333368</v>
      </c>
      <c r="H4" s="19">
        <v>1.2375000000000018</v>
      </c>
      <c r="I4" s="19">
        <v>8.0555555555556857E-4</v>
      </c>
      <c r="J4" s="19">
        <v>0.71666666666666856</v>
      </c>
      <c r="K4" s="16">
        <v>7.6666666666666661E-2</v>
      </c>
      <c r="L4" s="16">
        <v>7.083333333333333E-3</v>
      </c>
      <c r="M4" s="16">
        <v>-0.24833333333333338</v>
      </c>
      <c r="N4" s="16">
        <v>-2.9166666666666664E-3</v>
      </c>
      <c r="O4" s="16">
        <v>-2.0833333333333339E-2</v>
      </c>
    </row>
    <row r="5" spans="1:15" ht="15.6" x14ac:dyDescent="0.25">
      <c r="A5" s="25"/>
      <c r="B5" s="18" t="s">
        <v>309</v>
      </c>
      <c r="C5" s="19">
        <v>-0.74000000000000021</v>
      </c>
      <c r="D5" s="19">
        <v>-0.75208333333333288</v>
      </c>
      <c r="E5" s="19">
        <v>4.1666666666667256E-3</v>
      </c>
      <c r="F5" s="19">
        <v>-12.441666666666658</v>
      </c>
      <c r="G5" s="19">
        <v>0.94658333333333322</v>
      </c>
      <c r="H5" s="19">
        <v>0.86249999999998295</v>
      </c>
      <c r="I5" s="19">
        <v>1.6666666666666682E-4</v>
      </c>
      <c r="J5" s="19">
        <v>0.10833333333332955</v>
      </c>
      <c r="K5" s="16">
        <v>1.9999999999999997E-2</v>
      </c>
      <c r="L5" s="16">
        <v>6.6666666666666654E-3</v>
      </c>
      <c r="M5" s="16">
        <v>-0.26833333333333331</v>
      </c>
      <c r="N5" s="16">
        <v>4.1666666666666675E-4</v>
      </c>
      <c r="O5" s="16">
        <v>-3.6249999999999998E-2</v>
      </c>
    </row>
    <row r="6" spans="1:15" ht="15.6" x14ac:dyDescent="0.25">
      <c r="A6" s="26"/>
      <c r="B6" s="18" t="s">
        <v>310</v>
      </c>
      <c r="C6" s="19">
        <v>-2.325416666666666</v>
      </c>
      <c r="D6" s="19">
        <v>-0.91624999999999979</v>
      </c>
      <c r="E6" s="19">
        <v>1.3541666666666488E-2</v>
      </c>
      <c r="F6" s="19">
        <v>-11.958333333333334</v>
      </c>
      <c r="G6" s="19">
        <v>1.821833333333333</v>
      </c>
      <c r="H6" s="19">
        <v>0.72500000000000375</v>
      </c>
      <c r="I6" s="19">
        <v>4.5833333333333837E-4</v>
      </c>
      <c r="J6" s="19">
        <v>0.11249999999999243</v>
      </c>
      <c r="K6" s="16">
        <v>2.041666666666667E-2</v>
      </c>
      <c r="L6" s="16">
        <v>2.9166666666666664E-3</v>
      </c>
      <c r="M6" s="16">
        <v>-0.28916666666666674</v>
      </c>
      <c r="N6" s="16">
        <v>-8.3333333333333306E-4</v>
      </c>
      <c r="O6" s="16">
        <v>-1.6666666666666659E-3</v>
      </c>
    </row>
    <row r="7" spans="1:15" ht="15.6" x14ac:dyDescent="0.25">
      <c r="A7" s="24" t="s">
        <v>346</v>
      </c>
      <c r="B7" s="18" t="s">
        <v>297</v>
      </c>
      <c r="C7" s="19">
        <v>0.68737499999999996</v>
      </c>
      <c r="D7" s="19">
        <v>0.78708333333333336</v>
      </c>
      <c r="E7" s="19">
        <v>0.26604166666666657</v>
      </c>
      <c r="F7" s="19">
        <v>12.275</v>
      </c>
      <c r="G7" s="19">
        <v>1.6247083333333334</v>
      </c>
      <c r="H7" s="19">
        <v>4.6375000000000073</v>
      </c>
      <c r="I7" s="19">
        <v>7.0833333333333122E-3</v>
      </c>
      <c r="J7" s="19">
        <v>0.67083333333333905</v>
      </c>
      <c r="K7" s="16">
        <v>2.2916666666666669E-2</v>
      </c>
      <c r="L7" s="16">
        <v>1.25E-3</v>
      </c>
      <c r="M7" s="16">
        <v>1.4608333333333334</v>
      </c>
      <c r="N7" s="16">
        <v>3.7499999999999999E-3</v>
      </c>
      <c r="O7" s="16">
        <v>3.3333333333333335E-3</v>
      </c>
    </row>
    <row r="8" spans="1:15" ht="15.6" x14ac:dyDescent="0.25">
      <c r="A8" s="25"/>
      <c r="B8" s="18">
        <v>33</v>
      </c>
      <c r="C8" s="19">
        <v>0.88666666666666616</v>
      </c>
      <c r="D8" s="19">
        <v>1.6416666666666668</v>
      </c>
      <c r="E8" s="19">
        <v>5.2708333333333059E-2</v>
      </c>
      <c r="F8" s="19">
        <v>8.025000000000011</v>
      </c>
      <c r="G8" s="19">
        <v>2.7294166666666668</v>
      </c>
      <c r="H8" s="19">
        <v>3.933333333333318</v>
      </c>
      <c r="I8" s="19">
        <v>2.3194444444444387E-3</v>
      </c>
      <c r="J8" s="19">
        <v>2.0541666666666649</v>
      </c>
      <c r="K8" s="16">
        <v>9.2916666666666661E-2</v>
      </c>
      <c r="L8" s="16">
        <v>6.666666666666668E-3</v>
      </c>
      <c r="M8" s="16">
        <v>0.30166666666666669</v>
      </c>
      <c r="N8" s="16">
        <v>4.5833333333333334E-3</v>
      </c>
      <c r="O8" s="16">
        <v>2.7499999999999997E-2</v>
      </c>
    </row>
    <row r="9" spans="1:15" ht="15.6" x14ac:dyDescent="0.25">
      <c r="A9" s="25"/>
      <c r="B9" s="18">
        <v>46</v>
      </c>
      <c r="C9" s="19">
        <v>1.0416666666666672</v>
      </c>
      <c r="D9" s="19">
        <v>1.0870833333333341</v>
      </c>
      <c r="E9" s="19">
        <v>5.7833333333332959E-2</v>
      </c>
      <c r="F9" s="19">
        <v>20.379166666666663</v>
      </c>
      <c r="G9" s="19">
        <v>2.1602083333333333</v>
      </c>
      <c r="H9" s="19">
        <v>4.1374999999999789</v>
      </c>
      <c r="I9" s="19">
        <v>2.1944444444444524E-3</v>
      </c>
      <c r="J9" s="19">
        <v>1.8749999999999905</v>
      </c>
      <c r="K9" s="16">
        <v>8.666666666666667E-2</v>
      </c>
      <c r="L9" s="16">
        <v>7.9166666666666673E-3</v>
      </c>
      <c r="M9" s="16">
        <v>0.32</v>
      </c>
      <c r="N9" s="16">
        <v>4.5833333333333334E-3</v>
      </c>
      <c r="O9" s="16">
        <v>2.2500000000000003E-2</v>
      </c>
    </row>
    <row r="10" spans="1:15" ht="15.6" x14ac:dyDescent="0.25">
      <c r="A10" s="25"/>
      <c r="B10" s="18" t="s">
        <v>309</v>
      </c>
      <c r="C10" s="19">
        <v>0.9541666666666675</v>
      </c>
      <c r="D10" s="19">
        <v>1.4604166666666663</v>
      </c>
      <c r="E10" s="19">
        <v>5.5666666666666899E-2</v>
      </c>
      <c r="F10" s="19">
        <v>15.85</v>
      </c>
      <c r="G10" s="19">
        <v>2.5511666666666666</v>
      </c>
      <c r="H10" s="19">
        <v>4.2541666666666726</v>
      </c>
      <c r="I10" s="19">
        <v>2.0833333333333259E-3</v>
      </c>
      <c r="J10" s="19">
        <v>1.9166666666666667</v>
      </c>
      <c r="K10" s="16">
        <v>2.8333333333333332E-2</v>
      </c>
      <c r="L10" s="16">
        <v>6.6666666666666654E-3</v>
      </c>
      <c r="M10" s="16">
        <v>0.35333333333333333</v>
      </c>
      <c r="N10" s="16">
        <v>4.1666666666666675E-4</v>
      </c>
      <c r="O10" s="16">
        <v>3.9583333333333331E-2</v>
      </c>
    </row>
    <row r="11" spans="1:15" ht="15.6" x14ac:dyDescent="0.25">
      <c r="A11" s="26"/>
      <c r="B11" s="18" t="s">
        <v>310</v>
      </c>
      <c r="C11" s="19">
        <v>3.6062500000000011</v>
      </c>
      <c r="D11" s="19">
        <v>1.3987500000000004</v>
      </c>
      <c r="E11" s="19">
        <v>0.10554166666666702</v>
      </c>
      <c r="F11" s="19">
        <v>14.10833333333334</v>
      </c>
      <c r="G11" s="19">
        <v>3.1758333333333333</v>
      </c>
      <c r="H11" s="19">
        <v>1.5083333333333258</v>
      </c>
      <c r="I11" s="19">
        <v>1.041666666666663E-3</v>
      </c>
      <c r="J11" s="19">
        <v>3.3625000000000114</v>
      </c>
      <c r="K11" s="16">
        <v>2.4583333333333336E-2</v>
      </c>
      <c r="L11" s="16">
        <v>9.5833333333333343E-3</v>
      </c>
      <c r="M11" s="16">
        <v>1.3416666666666668</v>
      </c>
      <c r="N11" s="16">
        <v>5.8333333333333336E-3</v>
      </c>
      <c r="O11" s="16">
        <v>2.8333333333333335E-2</v>
      </c>
    </row>
    <row r="12" spans="1:15" ht="15.6" x14ac:dyDescent="0.25">
      <c r="A12" s="24" t="s">
        <v>319</v>
      </c>
      <c r="B12" s="18" t="s">
        <v>297</v>
      </c>
      <c r="C12" s="19">
        <v>0.67421113541666688</v>
      </c>
      <c r="D12" s="19">
        <v>1.1944052083333332</v>
      </c>
      <c r="E12" s="19">
        <v>8.5171927083333335E-2</v>
      </c>
      <c r="F12" s="19">
        <v>243.59916666666663</v>
      </c>
      <c r="G12" s="19">
        <v>3.1881337812500004</v>
      </c>
      <c r="H12" s="19">
        <v>58.450729166666811</v>
      </c>
      <c r="I12" s="19">
        <v>1.3991666666666644E-4</v>
      </c>
      <c r="J12" s="19">
        <v>1.0265625000000331</v>
      </c>
      <c r="K12" s="16">
        <v>1.3593750000000001E-3</v>
      </c>
      <c r="L12" s="16">
        <v>3.1250000000000001E-6</v>
      </c>
      <c r="M12" s="16">
        <v>5.9061520833333327</v>
      </c>
      <c r="N12" s="16">
        <v>1.7708333333333335E-5</v>
      </c>
      <c r="O12" s="16">
        <v>1.6666666666666667E-5</v>
      </c>
    </row>
    <row r="13" spans="1:15" ht="15.6" x14ac:dyDescent="0.25">
      <c r="A13" s="25"/>
      <c r="B13" s="18">
        <v>33</v>
      </c>
      <c r="C13" s="19">
        <v>0.95336458333333252</v>
      </c>
      <c r="D13" s="19">
        <v>3.556691666666667</v>
      </c>
      <c r="E13" s="19">
        <v>3.4726770833333098E-3</v>
      </c>
      <c r="F13" s="19">
        <v>89.412708333333455</v>
      </c>
      <c r="G13" s="19">
        <v>17.076423083333335</v>
      </c>
      <c r="H13" s="19">
        <v>33.001249999999764</v>
      </c>
      <c r="I13" s="19">
        <v>1.1327546296296355E-5</v>
      </c>
      <c r="J13" s="19">
        <v>8.4009374999999853</v>
      </c>
      <c r="K13" s="16">
        <v>4.2663541666666666E-2</v>
      </c>
      <c r="L13" s="16">
        <v>5.4166666666666671E-5</v>
      </c>
      <c r="M13" s="16">
        <v>0.20032916666666667</v>
      </c>
      <c r="N13" s="16">
        <v>2.8124999999999996E-5</v>
      </c>
      <c r="O13" s="16">
        <v>9.7916666666666681E-4</v>
      </c>
    </row>
    <row r="14" spans="1:15" ht="15.6" x14ac:dyDescent="0.25">
      <c r="A14" s="25"/>
      <c r="B14" s="18">
        <v>46</v>
      </c>
      <c r="C14" s="19">
        <v>1.6486562500000017</v>
      </c>
      <c r="D14" s="19">
        <v>2.7679718750000024</v>
      </c>
      <c r="E14" s="19">
        <v>5.5060624999999806E-3</v>
      </c>
      <c r="F14" s="19">
        <v>606.26489583333284</v>
      </c>
      <c r="G14" s="19">
        <v>8.5242945312500016</v>
      </c>
      <c r="H14" s="19">
        <v>27.016770833333126</v>
      </c>
      <c r="I14" s="19">
        <v>7.6504629629630264E-6</v>
      </c>
      <c r="J14" s="19">
        <v>6.0189583333332948</v>
      </c>
      <c r="K14" s="16">
        <v>2.8097916666666663E-2</v>
      </c>
      <c r="L14" s="16">
        <v>9.0624999999999994E-5</v>
      </c>
      <c r="M14" s="16">
        <v>0.17407708333333335</v>
      </c>
      <c r="N14" s="16">
        <v>2.6041666666666668E-5</v>
      </c>
      <c r="O14" s="16">
        <v>7.9166666666666665E-4</v>
      </c>
    </row>
    <row r="15" spans="1:15" ht="15.6" x14ac:dyDescent="0.25">
      <c r="A15" s="25"/>
      <c r="B15" s="18" t="s">
        <v>309</v>
      </c>
      <c r="C15" s="19">
        <v>1.1955104166666686</v>
      </c>
      <c r="D15" s="19">
        <v>3.4028364583333306</v>
      </c>
      <c r="E15" s="19">
        <v>3.8981875000000227E-3</v>
      </c>
      <c r="F15" s="19">
        <v>530.74020833333327</v>
      </c>
      <c r="G15" s="19">
        <v>9.8446111458333387</v>
      </c>
      <c r="H15" s="19">
        <v>21.951979166666717</v>
      </c>
      <c r="I15" s="19">
        <v>6.0208333333333207E-6</v>
      </c>
      <c r="J15" s="19">
        <v>5.0464583333333319</v>
      </c>
      <c r="K15" s="16">
        <v>1.5770833333333331E-3</v>
      </c>
      <c r="L15" s="16">
        <v>6.8750000000000004E-5</v>
      </c>
      <c r="M15" s="16">
        <v>0.17514374999999996</v>
      </c>
      <c r="N15" s="16">
        <v>1.0416666666666671E-6</v>
      </c>
      <c r="O15" s="16">
        <v>3.9156249999999998E-3</v>
      </c>
    </row>
    <row r="16" spans="1:15" ht="15.6" x14ac:dyDescent="0.25">
      <c r="A16" s="26"/>
      <c r="B16" s="18" t="s">
        <v>310</v>
      </c>
      <c r="C16" s="19">
        <v>47.144638541666666</v>
      </c>
      <c r="D16" s="19">
        <v>2.7414406250000023</v>
      </c>
      <c r="E16" s="19">
        <v>2.1914406250000171E-2</v>
      </c>
      <c r="F16" s="19">
        <v>229.94041666666678</v>
      </c>
      <c r="G16" s="19">
        <v>20.548852437500003</v>
      </c>
      <c r="H16" s="19">
        <v>3.4760416666666578</v>
      </c>
      <c r="I16" s="19">
        <v>1.4479166666666438E-6</v>
      </c>
      <c r="J16" s="19">
        <v>22.009895833333402</v>
      </c>
      <c r="K16" s="16">
        <v>8.5729166666666679E-4</v>
      </c>
      <c r="L16" s="16">
        <v>1.1354166666666667E-4</v>
      </c>
      <c r="M16" s="16">
        <v>2.5870083333333329</v>
      </c>
      <c r="N16" s="16">
        <v>3.5416666666666669E-5</v>
      </c>
      <c r="O16" s="16">
        <v>1.0104166666666671E-3</v>
      </c>
    </row>
    <row r="17" spans="1:15" ht="15.6" x14ac:dyDescent="0.25">
      <c r="A17" s="24" t="s">
        <v>320</v>
      </c>
      <c r="B17" s="18" t="s">
        <v>297</v>
      </c>
      <c r="C17" s="19">
        <v>0.82110360821072204</v>
      </c>
      <c r="D17" s="19">
        <v>1.0928884702170361</v>
      </c>
      <c r="E17" s="19">
        <v>0.29184229831080577</v>
      </c>
      <c r="F17" s="19">
        <v>15.607663715837377</v>
      </c>
      <c r="G17" s="19">
        <v>1.7855345925660473</v>
      </c>
      <c r="H17" s="19">
        <v>7.6453076567700542</v>
      </c>
      <c r="I17" s="19">
        <v>1.1828637565952659E-2</v>
      </c>
      <c r="J17" s="19">
        <v>1.0131942064579886</v>
      </c>
      <c r="K17" s="16">
        <v>3.6869703009381569E-2</v>
      </c>
      <c r="L17" s="16">
        <v>1.7677669529663688E-3</v>
      </c>
      <c r="M17" s="16">
        <v>2.4302576166598744</v>
      </c>
      <c r="N17" s="16">
        <v>4.2081270576508657E-3</v>
      </c>
      <c r="O17" s="16">
        <v>4.0824829046386306E-3</v>
      </c>
    </row>
    <row r="18" spans="1:15" ht="15.6" x14ac:dyDescent="0.25">
      <c r="A18" s="25"/>
      <c r="B18" s="18">
        <v>33</v>
      </c>
      <c r="C18" s="19">
        <v>0.97640390378845399</v>
      </c>
      <c r="D18" s="19">
        <v>1.8859193160542862</v>
      </c>
      <c r="E18" s="19">
        <v>5.8929424596998313E-2</v>
      </c>
      <c r="F18" s="19">
        <v>9.455829330806127</v>
      </c>
      <c r="G18" s="19">
        <v>4.1323628934706758</v>
      </c>
      <c r="H18" s="19">
        <v>5.7446714440427105</v>
      </c>
      <c r="I18" s="19">
        <v>3.3656420332971175E-3</v>
      </c>
      <c r="J18" s="19">
        <v>2.8984370788409373</v>
      </c>
      <c r="K18" s="16">
        <v>0.20655154723861707</v>
      </c>
      <c r="L18" s="16">
        <v>7.359800721939873E-3</v>
      </c>
      <c r="M18" s="16">
        <v>0.4475814637210378</v>
      </c>
      <c r="N18" s="16">
        <v>5.3033008588991059E-3</v>
      </c>
      <c r="O18" s="16">
        <v>3.1291638925864312E-2</v>
      </c>
    </row>
    <row r="19" spans="1:15" ht="15.6" x14ac:dyDescent="0.25">
      <c r="A19" s="25"/>
      <c r="B19" s="18">
        <v>46</v>
      </c>
      <c r="C19" s="19">
        <v>1.2840000973520218</v>
      </c>
      <c r="D19" s="19">
        <v>1.6637222950360442</v>
      </c>
      <c r="E19" s="19">
        <v>7.4202846980422399E-2</v>
      </c>
      <c r="F19" s="19">
        <v>24.622446991177235</v>
      </c>
      <c r="G19" s="19">
        <v>2.9196394522697493</v>
      </c>
      <c r="H19" s="19">
        <v>5.1977659463786097</v>
      </c>
      <c r="I19" s="19">
        <v>2.7659470282279499E-3</v>
      </c>
      <c r="J19" s="19">
        <v>2.4533565442742509</v>
      </c>
      <c r="K19" s="16">
        <v>0.1676243319648632</v>
      </c>
      <c r="L19" s="16">
        <v>9.5197163823298857E-3</v>
      </c>
      <c r="M19" s="16">
        <v>0.41722545863517646</v>
      </c>
      <c r="N19" s="16">
        <v>5.1031036307982881E-3</v>
      </c>
      <c r="O19" s="16">
        <v>2.8136571693556888E-2</v>
      </c>
    </row>
    <row r="20" spans="1:15" ht="15.6" x14ac:dyDescent="0.25">
      <c r="A20" s="25"/>
      <c r="B20" s="18" t="s">
        <v>309</v>
      </c>
      <c r="C20" s="19">
        <v>1.093393989679232</v>
      </c>
      <c r="D20" s="19">
        <v>1.8446778738666896</v>
      </c>
      <c r="E20" s="19">
        <v>6.243546668360879E-2</v>
      </c>
      <c r="F20" s="19">
        <v>23.037799554934349</v>
      </c>
      <c r="G20" s="19">
        <v>3.1376123319864324</v>
      </c>
      <c r="H20" s="19">
        <v>4.6852939253227985</v>
      </c>
      <c r="I20" s="19">
        <v>2.4537386440559071E-3</v>
      </c>
      <c r="J20" s="19">
        <v>2.2464323567232851</v>
      </c>
      <c r="K20" s="16">
        <v>3.9712508524812846E-2</v>
      </c>
      <c r="L20" s="16">
        <v>8.2915619758884996E-3</v>
      </c>
      <c r="M20" s="16">
        <v>0.4185017921108582</v>
      </c>
      <c r="N20" s="16">
        <v>1.0206207261596579E-3</v>
      </c>
      <c r="O20" s="16">
        <v>6.2574955053919135E-2</v>
      </c>
    </row>
    <row r="21" spans="1:15" ht="15.6" x14ac:dyDescent="0.25">
      <c r="A21" s="26"/>
      <c r="B21" s="18" t="s">
        <v>310</v>
      </c>
      <c r="C21" s="19">
        <v>6.8661953468909305</v>
      </c>
      <c r="D21" s="19">
        <v>1.6557296352363819</v>
      </c>
      <c r="E21" s="19">
        <v>0.14803515207544515</v>
      </c>
      <c r="F21" s="19">
        <v>15.163786356535981</v>
      </c>
      <c r="G21" s="19">
        <v>4.5330842080751159</v>
      </c>
      <c r="H21" s="19">
        <v>1.8644145640566794</v>
      </c>
      <c r="I21" s="19">
        <v>1.2032940898494614E-3</v>
      </c>
      <c r="J21" s="19">
        <v>4.6914705406016779</v>
      </c>
      <c r="K21" s="16">
        <v>2.9279543484601444E-2</v>
      </c>
      <c r="L21" s="16">
        <v>1.0655593210453685E-2</v>
      </c>
      <c r="M21" s="16">
        <v>1.6084179597770392</v>
      </c>
      <c r="N21" s="16">
        <v>5.9511903571190421E-3</v>
      </c>
      <c r="O21" s="16">
        <v>3.1787051871267756E-2</v>
      </c>
    </row>
    <row r="22" spans="1:15" ht="15.6" x14ac:dyDescent="0.25">
      <c r="A22" s="24" t="s">
        <v>348</v>
      </c>
      <c r="B22" s="18" t="s">
        <v>297</v>
      </c>
      <c r="C22" s="19">
        <v>5.8406895664070317</v>
      </c>
      <c r="D22" s="19">
        <v>17.306230723943564</v>
      </c>
      <c r="E22" s="19">
        <v>3.74164787680257</v>
      </c>
      <c r="F22" s="19">
        <v>6.5573826969416897</v>
      </c>
      <c r="G22" s="19">
        <v>125.57973924975133</v>
      </c>
      <c r="H22" s="19">
        <v>1.2003623169075055</v>
      </c>
      <c r="I22" s="19">
        <v>3.4654211619001929</v>
      </c>
      <c r="J22" s="19">
        <v>0.31322986597011188</v>
      </c>
      <c r="K22" s="16">
        <v>130.12836356252316</v>
      </c>
      <c r="L22" s="16" t="e">
        <v>#DIV/0!</v>
      </c>
      <c r="M22" s="16">
        <v>76.623992117494723</v>
      </c>
      <c r="N22" s="16">
        <v>252.48762345905195</v>
      </c>
      <c r="O22" s="16" t="e">
        <v>#DIV/0!</v>
      </c>
    </row>
    <row r="23" spans="1:15" ht="15.6" x14ac:dyDescent="0.25">
      <c r="A23" s="25"/>
      <c r="B23" s="18">
        <v>33</v>
      </c>
      <c r="C23" s="19">
        <v>3.9032736509632375</v>
      </c>
      <c r="D23" s="19">
        <v>13.490123863049257</v>
      </c>
      <c r="E23" s="19">
        <v>0.66676073013254988</v>
      </c>
      <c r="F23" s="19">
        <v>4.6084782702328626</v>
      </c>
      <c r="G23" s="19">
        <v>55.781181490751322</v>
      </c>
      <c r="H23" s="19">
        <v>1.2039129816366141</v>
      </c>
      <c r="I23" s="19">
        <v>1.317276725360907</v>
      </c>
      <c r="J23" s="19">
        <v>1.2043367363605002</v>
      </c>
      <c r="K23" s="16">
        <v>193.64207553620349</v>
      </c>
      <c r="L23" s="16">
        <v>49.065338146265816</v>
      </c>
      <c r="M23" s="16">
        <v>76.728250923606481</v>
      </c>
      <c r="N23" s="16">
        <v>318.19805153394634</v>
      </c>
      <c r="O23" s="16">
        <v>312.91638925864311</v>
      </c>
    </row>
    <row r="24" spans="1:15" ht="15.6" x14ac:dyDescent="0.25">
      <c r="A24" s="25"/>
      <c r="B24" s="18">
        <v>46</v>
      </c>
      <c r="C24" s="19">
        <v>5.0844776822281759</v>
      </c>
      <c r="D24" s="19">
        <v>12.548502539555331</v>
      </c>
      <c r="E24" s="19">
        <v>0.84053972565045765</v>
      </c>
      <c r="F24" s="19">
        <v>12.573164421026672</v>
      </c>
      <c r="G24" s="19">
        <v>38.50074002993076</v>
      </c>
      <c r="H24" s="19">
        <v>1.0968450630700823</v>
      </c>
      <c r="I24" s="19">
        <v>1.0889555229243897</v>
      </c>
      <c r="J24" s="19">
        <v>1.0256507292116432</v>
      </c>
      <c r="K24" s="16">
        <v>141.65436504072949</v>
      </c>
      <c r="L24" s="16">
        <v>57.118298293979322</v>
      </c>
      <c r="M24" s="16">
        <v>78.229773494095582</v>
      </c>
      <c r="N24" s="16">
        <v>153.09310892394862</v>
      </c>
      <c r="O24" s="16">
        <v>562.73143387113771</v>
      </c>
    </row>
    <row r="25" spans="1:15" ht="15.6" x14ac:dyDescent="0.25">
      <c r="A25" s="25"/>
      <c r="B25" s="18" t="s">
        <v>309</v>
      </c>
      <c r="C25" s="19">
        <v>4.3973214947887875</v>
      </c>
      <c r="D25" s="19">
        <v>12.650665496856941</v>
      </c>
      <c r="E25" s="19">
        <v>0.702627354080675</v>
      </c>
      <c r="F25" s="19">
        <v>12.128349331368437</v>
      </c>
      <c r="G25" s="19">
        <v>33.380038284901225</v>
      </c>
      <c r="H25" s="19">
        <v>0.98894545669235179</v>
      </c>
      <c r="I25" s="19">
        <v>0.96730826966724315</v>
      </c>
      <c r="J25" s="19">
        <v>0.94091407611446487</v>
      </c>
      <c r="K25" s="16">
        <v>95.310020459550842</v>
      </c>
      <c r="L25" s="16">
        <v>45.226701686664533</v>
      </c>
      <c r="M25" s="16">
        <v>90.978650458882228</v>
      </c>
      <c r="N25" s="16">
        <v>10.206207261596578</v>
      </c>
      <c r="O25" s="16">
        <v>417.16636702612755</v>
      </c>
    </row>
    <row r="26" spans="1:15" ht="15.6" x14ac:dyDescent="0.25">
      <c r="A26" s="26"/>
      <c r="B26" s="18" t="s">
        <v>310</v>
      </c>
      <c r="C26" s="19">
        <v>30.875494327621659</v>
      </c>
      <c r="D26" s="19">
        <v>11.941793258105891</v>
      </c>
      <c r="E26" s="19">
        <v>1.6853457410585384</v>
      </c>
      <c r="F26" s="19">
        <v>7.530435204371452</v>
      </c>
      <c r="G26" s="19">
        <v>56.367622582381451</v>
      </c>
      <c r="H26" s="19">
        <v>0.38763903889181772</v>
      </c>
      <c r="I26" s="19">
        <v>0.46639305808118658</v>
      </c>
      <c r="J26" s="19">
        <v>1.9223399060035558</v>
      </c>
      <c r="K26" s="16">
        <v>87.838630453804328</v>
      </c>
      <c r="L26" s="16">
        <v>106.55593210453685</v>
      </c>
      <c r="M26" s="16">
        <v>158.46482362335362</v>
      </c>
      <c r="N26" s="16">
        <v>119.02380714238083</v>
      </c>
      <c r="O26" s="16">
        <v>190.72231122760655</v>
      </c>
    </row>
  </sheetData>
  <mergeCells count="5">
    <mergeCell ref="A17:A21"/>
    <mergeCell ref="A22:A26"/>
    <mergeCell ref="A2:A6"/>
    <mergeCell ref="A7:A11"/>
    <mergeCell ref="A12:A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81cac1-d937-433c-af67-974718e90c2a">
      <Terms xmlns="http://schemas.microsoft.com/office/infopath/2007/PartnerControls"/>
    </lcf76f155ced4ddcb4097134ff3c332f>
    <Megjegyz_x00e9_s xmlns="b981cac1-d937-433c-af67-974718e90c2a" xsi:nil="true"/>
    <TaxCatchAll xmlns="013cace8-51a0-4e75-9494-d13d047cde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99FA6E08F70A1645BC7C6025F89A1264" ma:contentTypeVersion="19" ma:contentTypeDescription="Új dokumentum létrehozása." ma:contentTypeScope="" ma:versionID="48c7031f560e7da1633f95414935940f">
  <xsd:schema xmlns:xsd="http://www.w3.org/2001/XMLSchema" xmlns:xs="http://www.w3.org/2001/XMLSchema" xmlns:p="http://schemas.microsoft.com/office/2006/metadata/properties" xmlns:ns2="b981cac1-d937-433c-af67-974718e90c2a" xmlns:ns3="013cace8-51a0-4e75-9494-d13d047cdeba" targetNamespace="http://schemas.microsoft.com/office/2006/metadata/properties" ma:root="true" ma:fieldsID="fa36ef3e6d20c13d25a47641659c588e" ns2:_="" ns3:_="">
    <xsd:import namespace="b981cac1-d937-433c-af67-974718e90c2a"/>
    <xsd:import namespace="013cace8-51a0-4e75-9494-d13d047cde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gjegyz_x00e9_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1cac1-d937-433c-af67-974718e90c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Képcímkék" ma:readOnly="false" ma:fieldId="{5cf76f15-5ced-4ddc-b409-7134ff3c332f}" ma:taxonomyMulti="true" ma:sspId="892e0818-2272-4b50-aa80-70e8894ba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gjegyz_x00e9_s" ma:index="25" nillable="true" ma:displayName="Megjegyzés" ma:format="Dropdown" ma:internalName="Megjegyz_x00e9_s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cace8-51a0-4e75-9494-d13d047cdeb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654a8eb-0963-4b3f-a093-b2edd128a8e3}" ma:internalName="TaxCatchAll" ma:showField="CatchAllData" ma:web="013cace8-51a0-4e75-9494-d13d047cd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732B1B-A890-4EB7-9B1D-2248C476330B}">
  <ds:schemaRefs>
    <ds:schemaRef ds:uri="http://schemas.microsoft.com/office/2006/metadata/properties"/>
    <ds:schemaRef ds:uri="http://schemas.microsoft.com/office/infopath/2007/PartnerControls"/>
    <ds:schemaRef ds:uri="b981cac1-d937-433c-af67-974718e90c2a"/>
    <ds:schemaRef ds:uri="013cace8-51a0-4e75-9494-d13d047cdeba"/>
  </ds:schemaRefs>
</ds:datastoreItem>
</file>

<file path=customXml/itemProps2.xml><?xml version="1.0" encoding="utf-8"?>
<ds:datastoreItem xmlns:ds="http://schemas.openxmlformats.org/officeDocument/2006/customXml" ds:itemID="{1A368EFC-D64A-42EB-8CC5-FC3B49C8B4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341B5A-CB20-4CDF-9F03-BB9EB621BF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1cac1-d937-433c-af67-974718e90c2a"/>
    <ds:schemaRef ds:uri="013cace8-51a0-4e75-9494-d13d047cde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orginal data</vt:lpstr>
      <vt:lpstr>Temp</vt:lpstr>
      <vt:lpstr>DO</vt:lpstr>
      <vt:lpstr>pH</vt:lpstr>
      <vt:lpstr>ORP</vt:lpstr>
      <vt:lpstr>Turbidity</vt:lpstr>
      <vt:lpstr>EC</vt:lpstr>
      <vt:lpstr>Salinity</vt:lpstr>
      <vt:lpstr>TDS</vt:lpstr>
      <vt:lpstr>NH4</vt:lpstr>
      <vt:lpstr>NO2</vt:lpstr>
      <vt:lpstr>NO3</vt:lpstr>
      <vt:lpstr>OP</vt:lpstr>
      <vt:lpstr>TP</vt:lpstr>
      <vt:lpstr>total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Andarai Tsiiregzen</cp:lastModifiedBy>
  <cp:revision/>
  <dcterms:created xsi:type="dcterms:W3CDTF">2025-06-30T11:54:42Z</dcterms:created>
  <dcterms:modified xsi:type="dcterms:W3CDTF">2026-05-08T12:32:20Z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0x01010099FA6E08F70A1645BC7C6025F89A1264</vt:lpwstr>
  </property>
  <property fmtid="{D5CDD505-2E9C-101B-9397-08002B2CF9AE}" pid="3" name="MediaServiceImageTags">
    <vt:lpwstr/>
  </property>
</Properties>
</file>